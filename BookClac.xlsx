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EF4C000-0282-4A10-A9A6-03309D05FB0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الورقة1" sheetId="1" r:id="rId1"/>
  </sheets>
  <calcPr calcId="181029"/>
  <fileRecoveryPr repairLoad="1"/>
</workbook>
</file>

<file path=xl/calcChain.xml><?xml version="1.0" encoding="utf-8"?>
<calcChain xmlns="http://schemas.openxmlformats.org/spreadsheetml/2006/main">
  <c r="H194" i="1" l="1"/>
  <c r="H195" i="1"/>
  <c r="H192" i="1"/>
  <c r="C198" i="1"/>
  <c r="D195" i="1"/>
  <c r="D194" i="1"/>
  <c r="H187" i="1"/>
  <c r="H189" i="1"/>
  <c r="H168" i="1"/>
  <c r="H161" i="1"/>
  <c r="H160" i="1"/>
  <c r="H185" i="1"/>
  <c r="H130" i="1"/>
  <c r="H109" i="1"/>
  <c r="H93" i="1"/>
  <c r="H188" i="1"/>
  <c r="H60" i="1"/>
  <c r="H48" i="1"/>
  <c r="H35" i="1"/>
  <c r="H25" i="1"/>
  <c r="H24" i="1"/>
  <c r="H23" i="1"/>
  <c r="H22" i="1"/>
  <c r="H21" i="1"/>
  <c r="H20" i="1"/>
  <c r="H19" i="1"/>
  <c r="H18" i="1"/>
  <c r="H17" i="1"/>
  <c r="H12" i="1"/>
  <c r="H11" i="1"/>
  <c r="H10" i="1"/>
  <c r="H9" i="1"/>
  <c r="H8" i="1"/>
  <c r="H7" i="1"/>
  <c r="H145" i="1"/>
  <c r="H190" i="1"/>
  <c r="H140" i="1"/>
  <c r="H134" i="1"/>
  <c r="H186" i="1"/>
  <c r="H184" i="1"/>
  <c r="H193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7" i="1"/>
  <c r="H166" i="1"/>
  <c r="H165" i="1"/>
  <c r="H164" i="1"/>
  <c r="H163" i="1"/>
  <c r="H162" i="1"/>
  <c r="H159" i="1"/>
  <c r="H158" i="1"/>
  <c r="H157" i="1"/>
  <c r="H132" i="1"/>
  <c r="H131" i="1"/>
  <c r="H154" i="1"/>
  <c r="H153" i="1"/>
  <c r="H152" i="1"/>
  <c r="H151" i="1"/>
  <c r="H150" i="1"/>
  <c r="H149" i="1"/>
  <c r="H148" i="1"/>
  <c r="H147" i="1"/>
  <c r="H156" i="1"/>
  <c r="H144" i="1"/>
  <c r="H143" i="1"/>
  <c r="H142" i="1"/>
  <c r="H141" i="1"/>
  <c r="H126" i="1"/>
  <c r="H139" i="1"/>
  <c r="H138" i="1"/>
  <c r="H137" i="1"/>
  <c r="H136" i="1"/>
  <c r="H135" i="1"/>
  <c r="H191" i="1"/>
  <c r="H133" i="1"/>
  <c r="H155" i="1"/>
  <c r="H146" i="1"/>
  <c r="H128" i="1"/>
  <c r="H127" i="1"/>
  <c r="H92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8" i="1"/>
  <c r="H107" i="1"/>
  <c r="H106" i="1"/>
  <c r="H105" i="1"/>
  <c r="H104" i="1"/>
  <c r="H98" i="1"/>
  <c r="H97" i="1"/>
  <c r="H96" i="1"/>
  <c r="H95" i="1"/>
  <c r="H94" i="1"/>
  <c r="H75" i="1"/>
  <c r="H91" i="1"/>
  <c r="H90" i="1"/>
  <c r="H89" i="1"/>
  <c r="H88" i="1"/>
  <c r="H82" i="1"/>
  <c r="H81" i="1"/>
  <c r="H80" i="1"/>
  <c r="H79" i="1"/>
  <c r="H78" i="1"/>
  <c r="H77" i="1"/>
  <c r="H76" i="1"/>
  <c r="H74" i="1"/>
  <c r="H73" i="1"/>
  <c r="H72" i="1"/>
  <c r="H71" i="1"/>
  <c r="H70" i="1"/>
  <c r="H64" i="1"/>
  <c r="H63" i="1"/>
  <c r="H62" i="1"/>
  <c r="H61" i="1"/>
  <c r="H59" i="1"/>
  <c r="H58" i="1"/>
  <c r="H57" i="1"/>
  <c r="H56" i="1"/>
  <c r="H52" i="1"/>
  <c r="H51" i="1"/>
  <c r="H50" i="1"/>
  <c r="H49" i="1"/>
  <c r="H47" i="1"/>
  <c r="H46" i="1"/>
  <c r="H45" i="1"/>
  <c r="H44" i="1"/>
  <c r="H40" i="1"/>
  <c r="H39" i="1"/>
  <c r="H38" i="1"/>
  <c r="H37" i="1"/>
  <c r="H36" i="1"/>
  <c r="H34" i="1"/>
  <c r="H33" i="1"/>
  <c r="H32" i="1"/>
  <c r="H31" i="1"/>
  <c r="H129" i="1"/>
  <c r="H103" i="1"/>
  <c r="H102" i="1"/>
  <c r="H101" i="1"/>
  <c r="H100" i="1"/>
  <c r="H99" i="1"/>
  <c r="H87" i="1"/>
  <c r="H86" i="1"/>
  <c r="H85" i="1"/>
  <c r="H84" i="1"/>
  <c r="H83" i="1"/>
  <c r="H69" i="1"/>
  <c r="H68" i="1"/>
  <c r="H67" i="1"/>
  <c r="H66" i="1"/>
  <c r="H65" i="1"/>
  <c r="H55" i="1"/>
  <c r="H54" i="1"/>
  <c r="H53" i="1"/>
  <c r="H43" i="1"/>
  <c r="H42" i="1"/>
  <c r="H41" i="1"/>
  <c r="H30" i="1"/>
  <c r="H29" i="1"/>
  <c r="H28" i="1"/>
  <c r="D170" i="1"/>
  <c r="H6" i="1"/>
  <c r="I196" i="1" l="1"/>
  <c r="D187" i="1"/>
  <c r="D192" i="1"/>
  <c r="D145" i="1"/>
  <c r="D190" i="1"/>
  <c r="D140" i="1"/>
  <c r="D134" i="1"/>
  <c r="D189" i="1"/>
  <c r="D186" i="1"/>
  <c r="D184" i="1"/>
  <c r="D193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69" i="1"/>
  <c r="D168" i="1"/>
  <c r="D167" i="1"/>
  <c r="D166" i="1"/>
  <c r="D165" i="1"/>
  <c r="D164" i="1"/>
  <c r="D163" i="1"/>
  <c r="D162" i="1"/>
  <c r="D161" i="1"/>
  <c r="D160" i="1"/>
  <c r="D158" i="1"/>
  <c r="D157" i="1"/>
  <c r="D132" i="1"/>
  <c r="D131" i="1"/>
  <c r="D154" i="1"/>
  <c r="D153" i="1"/>
  <c r="D152" i="1"/>
  <c r="D150" i="1"/>
  <c r="D149" i="1"/>
  <c r="D148" i="1"/>
  <c r="D147" i="1"/>
  <c r="D156" i="1"/>
  <c r="D185" i="1"/>
  <c r="D144" i="1"/>
  <c r="D143" i="1"/>
  <c r="D141" i="1"/>
  <c r="D126" i="1"/>
  <c r="D137" i="1"/>
  <c r="D135" i="1"/>
  <c r="D191" i="1"/>
  <c r="D133" i="1"/>
  <c r="D155" i="1"/>
  <c r="D146" i="1"/>
  <c r="D130" i="1"/>
  <c r="D127" i="1"/>
  <c r="D122" i="1"/>
  <c r="D115" i="1"/>
  <c r="D110" i="1"/>
  <c r="D109" i="1"/>
  <c r="D108" i="1"/>
  <c r="D107" i="1"/>
  <c r="D106" i="1"/>
  <c r="D105" i="1"/>
  <c r="D104" i="1"/>
  <c r="D102" i="1"/>
  <c r="D101" i="1"/>
  <c r="D100" i="1"/>
  <c r="D99" i="1"/>
  <c r="D94" i="1"/>
  <c r="D93" i="1"/>
  <c r="D75" i="1"/>
  <c r="D91" i="1"/>
  <c r="D90" i="1"/>
  <c r="D89" i="1"/>
  <c r="D88" i="1"/>
  <c r="D86" i="1"/>
  <c r="D85" i="1"/>
  <c r="D84" i="1"/>
  <c r="D83" i="1"/>
  <c r="D82" i="1"/>
  <c r="D81" i="1"/>
  <c r="D77" i="1"/>
  <c r="D76" i="1"/>
  <c r="D188" i="1"/>
  <c r="D74" i="1"/>
  <c r="D73" i="1"/>
  <c r="D72" i="1"/>
  <c r="D71" i="1"/>
  <c r="D70" i="1"/>
  <c r="D68" i="1"/>
  <c r="D67" i="1"/>
  <c r="D66" i="1"/>
  <c r="D65" i="1"/>
  <c r="D64" i="1"/>
  <c r="D62" i="1"/>
  <c r="D61" i="1"/>
  <c r="D60" i="1"/>
  <c r="D59" i="1"/>
  <c r="D57" i="1"/>
  <c r="D56" i="1"/>
  <c r="D54" i="1"/>
  <c r="D53" i="1"/>
  <c r="D50" i="1"/>
  <c r="D49" i="1"/>
  <c r="D48" i="1"/>
  <c r="D47" i="1"/>
  <c r="D45" i="1"/>
  <c r="D44" i="1"/>
  <c r="D42" i="1"/>
  <c r="D41" i="1"/>
  <c r="D40" i="1"/>
  <c r="D37" i="1"/>
  <c r="D36" i="1"/>
  <c r="D35" i="1"/>
  <c r="D34" i="1"/>
  <c r="D32" i="1"/>
  <c r="D31" i="1"/>
  <c r="D29" i="1"/>
  <c r="D28" i="1"/>
</calcChain>
</file>

<file path=xl/sharedStrings.xml><?xml version="1.0" encoding="utf-8"?>
<sst xmlns="http://schemas.openxmlformats.org/spreadsheetml/2006/main" count="979" uniqueCount="249">
  <si>
    <t>الأضواء عربي (شرح) ⬅️ 249</t>
  </si>
  <si>
    <t>الأضواء عربي (اسئلة) ⬅️ 329</t>
  </si>
  <si>
    <t xml:space="preserve"> سلاح التلميذ عربي ⬅️ 180</t>
  </si>
  <si>
    <t xml:space="preserve"> سلاح التلميذ رياضيات ⬅️ 170</t>
  </si>
  <si>
    <t xml:space="preserve"> سلاح التلميذ دين ⬅️ 130 </t>
  </si>
  <si>
    <t xml:space="preserve"> أضواء رياضيات ⬅️ 149 </t>
  </si>
  <si>
    <t xml:space="preserve"> أضواء عربي ⬅️ 159</t>
  </si>
  <si>
    <t xml:space="preserve"> أضواء جيم إنجليزي ⬅️ 165</t>
  </si>
  <si>
    <t xml:space="preserve"> ستيب أهيد إنجليزي ⬅️ 165</t>
  </si>
  <si>
    <t xml:space="preserve"> بيت باي بيت إنجليزي ⬅️ 135 </t>
  </si>
  <si>
    <t xml:space="preserve"> المعاصر إنجليزي ⬅️ 175 </t>
  </si>
  <si>
    <t xml:space="preserve"> المعاصر رياضه بالعربي ⬅️ 165</t>
  </si>
  <si>
    <t xml:space="preserve"> أضواء رياضيات ⬅️ 159</t>
  </si>
  <si>
    <t xml:space="preserve"> سلاح التلميذ عربي ⬅️ 190 </t>
  </si>
  <si>
    <t xml:space="preserve"> سلاح التلميذ رياضيات ⬅️ 175 </t>
  </si>
  <si>
    <t xml:space="preserve"> أضواء عربي ⬅️ 169</t>
  </si>
  <si>
    <t xml:space="preserve"> أضواء حساب ⬅️ 165</t>
  </si>
  <si>
    <t xml:space="preserve"> ستيب أهيد إنجليزي ⬅️ 185</t>
  </si>
  <si>
    <t xml:space="preserve"> المعاصر انجليزي ⬅️ 189</t>
  </si>
  <si>
    <t xml:space="preserve"> سلاح التلميذ عربي ⬅️ 215</t>
  </si>
  <si>
    <t xml:space="preserve"> سلاح التلميذ دراسات ⬅️ 185</t>
  </si>
  <si>
    <t xml:space="preserve"> سلاح التلميذ رياضيات ⬅️ 190 </t>
  </si>
  <si>
    <t xml:space="preserve"> سلاح التلميذ علوم ⬅️ 170</t>
  </si>
  <si>
    <t xml:space="preserve"> أضواء عربي ⬅️ 195 </t>
  </si>
  <si>
    <t xml:space="preserve"> أضواء رياضيات ⬅️ 165</t>
  </si>
  <si>
    <t xml:space="preserve"> أضواء دراسات ⬅️ 159</t>
  </si>
  <si>
    <t xml:space="preserve"> المعاصر إنجليزي ⬅️ 189</t>
  </si>
  <si>
    <t xml:space="preserve"> الإمتحان دراسات ⬅️ 169</t>
  </si>
  <si>
    <t xml:space="preserve"> الإمتحان عربي ⬅️ 205 </t>
  </si>
  <si>
    <t xml:space="preserve"> سلاح التلميذ عربي⬅️ 215</t>
  </si>
  <si>
    <t xml:space="preserve"> سلاح التلميذ رياضه⬅️ 190</t>
  </si>
  <si>
    <t xml:space="preserve"> أضواء رياضيات ⬅️ 169</t>
  </si>
  <si>
    <t xml:space="preserve"> ستيب أهيد إنجليزي ⬅️ 187</t>
  </si>
  <si>
    <t xml:space="preserve"> بيت باي بيت إنجليزي ⬅️ 155</t>
  </si>
  <si>
    <t xml:space="preserve"> سلاح عربي ⬅️ 220</t>
  </si>
  <si>
    <t xml:space="preserve"> سلاح رياضه ⬅️ 190</t>
  </si>
  <si>
    <t xml:space="preserve"> سلاح دراسات ⬅️ 185</t>
  </si>
  <si>
    <t xml:space="preserve"> أضواء عربي ⬅️ 199</t>
  </si>
  <si>
    <t xml:space="preserve"> أضواء دراسات ⬅️ 165</t>
  </si>
  <si>
    <t xml:space="preserve"> أضواء جيم إنجليزي ⬅️ 179 </t>
  </si>
  <si>
    <t xml:space="preserve"> ستيب أهيد إنجليزي ⬅️ 195 </t>
  </si>
  <si>
    <t xml:space="preserve"> الاضواء عربي ⬅️ 199 </t>
  </si>
  <si>
    <t xml:space="preserve"> إمتحان جغرافيا (شرح) ⬅️ 218</t>
  </si>
  <si>
    <t xml:space="preserve"> إمتحان تاريخ (شرح) ⬅️ 265</t>
  </si>
  <si>
    <t xml:space="preserve"> إمتحان كيمياء (شرح) ⬅️ 285</t>
  </si>
  <si>
    <t xml:space="preserve"> إمتحان كيمياء (اسئلة) ⬅️ 340</t>
  </si>
  <si>
    <t xml:space="preserve"> إمتحان أحياء (شرح) ⬅️ 215</t>
  </si>
  <si>
    <t xml:space="preserve"> إمتحان أحياء (أسئلة) ⬅️ 299</t>
  </si>
  <si>
    <t xml:space="preserve"> الإمتحان فيزياء (شرح) ⬅️ 230</t>
  </si>
  <si>
    <t xml:space="preserve"> إمتحان فيزياء (أسئلة) ⬅️ 325</t>
  </si>
  <si>
    <t xml:space="preserve"> المعاصر إحصاء (أدبي) ⬅️ 199</t>
  </si>
  <si>
    <t xml:space="preserve"> المعاصر رياضة بحتة (جبر وهندسة وتفاضل) ⬅️ 445</t>
  </si>
  <si>
    <t xml:space="preserve"> المعاصر رياضة تطبيقية (استاتيكا وديناميكا) ⬅️ 400</t>
  </si>
  <si>
    <t xml:space="preserve"> إمتحان عربي (شرح) ⬅️ 278 </t>
  </si>
  <si>
    <t xml:space="preserve"> إمتحان عربي (أسئلة) ⬅️ 405 </t>
  </si>
  <si>
    <t>🎒 الصف الأول الابتدائي</t>
  </si>
  <si>
    <t>🎒 الصف الثاني الابتدائي</t>
  </si>
  <si>
    <t>🎒 الصف الثالث الابتدائي</t>
  </si>
  <si>
    <t>🎒 الصف الرابع الابتدائي</t>
  </si>
  <si>
    <t>🎒 الصف الخامس الابتدائي</t>
  </si>
  <si>
    <t>🎒 الصف السادس الابتدائي</t>
  </si>
  <si>
    <t>🎒 الصف الأول الإعدادي</t>
  </si>
  <si>
    <t>🎒 الصف الثاني الإعدادي</t>
  </si>
  <si>
    <t>🎒 الصف الثالث الإعدادي</t>
  </si>
  <si>
    <t>🎓 الثانوية العامة (أولى ثانوي)</t>
  </si>
  <si>
    <t>🎓 الثانوية العامة (تانية ثانوي)</t>
  </si>
  <si>
    <t>🎓 الثانوية العامة (تالتة ثانوي)</t>
  </si>
  <si>
    <t xml:space="preserve"> إمتحان عربي  ⬅️ 220 .00</t>
  </si>
  <si>
    <t xml:space="preserve"> إمتحان دراسات  ⬅️ 189</t>
  </si>
  <si>
    <t xml:space="preserve"> إمتحان علوم  ⬅️ 189</t>
  </si>
  <si>
    <t xml:space="preserve"> المعاصر انجليزي ⬅️  </t>
  </si>
  <si>
    <t xml:space="preserve"> أضواء دراسات  ⬅️ 179 </t>
  </si>
  <si>
    <t xml:space="preserve"> أضواء علوم  ⬅️ 185</t>
  </si>
  <si>
    <t xml:space="preserve"> بيت باي بيت إنجليزي  ⬅️ 150 </t>
  </si>
  <si>
    <t xml:space="preserve"> أضواء جيم إنجليزي  ⬅️ 199</t>
  </si>
  <si>
    <t xml:space="preserve"> المعاصر رياضيات  ⬅️ 185</t>
  </si>
  <si>
    <t xml:space="preserve"> إمتحان عربي  ⬅️ 220 </t>
  </si>
  <si>
    <t xml:space="preserve"> أضواء عربي  ⬅️ 199</t>
  </si>
  <si>
    <t xml:space="preserve"> أضواء علوم  ⬅️ 185 </t>
  </si>
  <si>
    <t xml:space="preserve"> أضواء دراسات  ⬅️ 175 </t>
  </si>
  <si>
    <t xml:space="preserve"> أضواء عربي  ⬅️ 215</t>
  </si>
  <si>
    <t xml:space="preserve">امتحان فلسفه ⬅️ 185 </t>
  </si>
  <si>
    <t xml:space="preserve">امتحان تاريخ  ⬅️ 174 </t>
  </si>
  <si>
    <t xml:space="preserve"> المعاصر ماث لغات ⬅️ </t>
  </si>
  <si>
    <t xml:space="preserve"> المعاصر ساينس لغات ⬅️ </t>
  </si>
  <si>
    <t>كتب التأسيس</t>
  </si>
  <si>
    <t xml:space="preserve"> إمتحان علوم  ⬅️ 199</t>
  </si>
  <si>
    <t xml:space="preserve"> أضواء جيم إنجليزي ⬅️ 169</t>
  </si>
  <si>
    <t>أضواء جيم إنجليزي  ⬅️ 169</t>
  </si>
  <si>
    <t xml:space="preserve"> أضواء جيم إنجليزي ⬅️ 199 </t>
  </si>
  <si>
    <t xml:space="preserve"> أضواء جيم إنجليزي  ⬅️ 275 </t>
  </si>
  <si>
    <t xml:space="preserve"> الأضواء عربي ⬅️ 239</t>
  </si>
  <si>
    <t>أضواء جيم انجليزي (جزء اول)  ⬅️ 275</t>
  </si>
  <si>
    <t xml:space="preserve"> إمتحان عربي  ⬅️ 235</t>
  </si>
  <si>
    <t>المعاصر انجليزي (جزء اول)  ⬅️ 285</t>
  </si>
  <si>
    <t>المعاصر انجليزي   ⬅️ 285</t>
  </si>
  <si>
    <t xml:space="preserve"> أضواء علوم ⬅️ 175</t>
  </si>
  <si>
    <t xml:space="preserve"> أضواء دراسات  ⬅️ 189 </t>
  </si>
  <si>
    <t xml:space="preserve"> أضواء علوم  ⬅️ 189</t>
  </si>
  <si>
    <t xml:space="preserve"> المعاصر ساينس لغات ⬅️ 375</t>
  </si>
  <si>
    <t xml:space="preserve"> إمتحان دراسات  ⬅️ 199</t>
  </si>
  <si>
    <t>برافو فرنساوى ⬅️ 160</t>
  </si>
  <si>
    <t>ميرسي فرنساوى ⬅️ 180</t>
  </si>
  <si>
    <t>برافو فرنساوى ⬅️ 175</t>
  </si>
  <si>
    <t xml:space="preserve"> أضواء دين  ⬅️ خلصان</t>
  </si>
  <si>
    <t xml:space="preserve"> المعاصر ماث ⬅️ خلصان</t>
  </si>
  <si>
    <t xml:space="preserve"> المعاصر ماث لغات ⬅️ خلصان</t>
  </si>
  <si>
    <t xml:space="preserve"> إمتحان تاريخ (اسئله) ⬅️ 265</t>
  </si>
  <si>
    <t xml:space="preserve"> إمتحان جغرافيا (اسئله) ⬅️ 270</t>
  </si>
  <si>
    <t xml:space="preserve">امتحان عربي ⬅️ 259 </t>
  </si>
  <si>
    <t xml:space="preserve"> بيت باي بيت إنجليزي  ⬅️ خلصان </t>
  </si>
  <si>
    <t xml:space="preserve"> المعاصر بلس ⬅️  205</t>
  </si>
  <si>
    <t xml:space="preserve"> المعاصر بلس ⬅️  199</t>
  </si>
  <si>
    <t>نحو وصرف أضواء 229</t>
  </si>
  <si>
    <t xml:space="preserve"> المعاصر بلس ⬅️ 205</t>
  </si>
  <si>
    <t xml:space="preserve"> أضواء دين ⬅️ خلصان </t>
  </si>
  <si>
    <t xml:space="preserve"> أضواء دين ⬅️ خلصان</t>
  </si>
  <si>
    <t xml:space="preserve"> سلاح التلميذ دين ⬅️ خلصان </t>
  </si>
  <si>
    <t xml:space="preserve"> سلاح التلميذ دين ⬅️ خلصان</t>
  </si>
  <si>
    <t xml:space="preserve">  سلاح دين ⬅️ خلصان</t>
  </si>
  <si>
    <t xml:space="preserve"> سلاح التلميذ دين  ⬅️ خلصان </t>
  </si>
  <si>
    <t xml:space="preserve"> الاضواء دين ⬅️ خلصان </t>
  </si>
  <si>
    <t xml:space="preserve"> إمتحان علوم  ⬅️ خلصان</t>
  </si>
  <si>
    <t xml:space="preserve"> المعاصر إنجليزي ⬅️ خلصان</t>
  </si>
  <si>
    <t xml:space="preserve"> المعاصر انجليزي ⬅️ 199 </t>
  </si>
  <si>
    <t xml:space="preserve"> المعاصر رياضيات  ⬅️ بدون خصم </t>
  </si>
  <si>
    <t xml:space="preserve"> إمتحان دراسات  ⬅️ بدون خصم</t>
  </si>
  <si>
    <t xml:space="preserve"> المعاصر انجليزي ⬅️ بدون خصم </t>
  </si>
  <si>
    <t xml:space="preserve"> المعاصر ماث لغات ⬅️ 299</t>
  </si>
  <si>
    <t xml:space="preserve"> المعاصر انجليزي بكالوريا ⬅️ 340</t>
  </si>
  <si>
    <t>مندليف كيمياء أسئلة 320</t>
  </si>
  <si>
    <t>الصف</t>
  </si>
  <si>
    <t>سعر الغلاف</t>
  </si>
  <si>
    <t>بعد الخصم</t>
  </si>
  <si>
    <t>دار نشر</t>
  </si>
  <si>
    <t>بيان الأصناف</t>
  </si>
  <si>
    <t>مادة</t>
  </si>
  <si>
    <t>سلاح</t>
  </si>
  <si>
    <t>اضواء</t>
  </si>
  <si>
    <t>امتحان</t>
  </si>
  <si>
    <t>معاصر</t>
  </si>
  <si>
    <t>الصف الدراسي</t>
  </si>
  <si>
    <t>بت</t>
  </si>
  <si>
    <t>ستب</t>
  </si>
  <si>
    <t>برافو</t>
  </si>
  <si>
    <t>ميرسي</t>
  </si>
  <si>
    <t>كيان</t>
  </si>
  <si>
    <t>مندليف</t>
  </si>
  <si>
    <t>التفوق احياء أسئلة</t>
  </si>
  <si>
    <t>تفوق</t>
  </si>
  <si>
    <t>انجليزي</t>
  </si>
  <si>
    <t>عربي</t>
  </si>
  <si>
    <t>حساب</t>
  </si>
  <si>
    <t>علوم</t>
  </si>
  <si>
    <t>دراسات</t>
  </si>
  <si>
    <t>احياء</t>
  </si>
  <si>
    <t>كيمياء</t>
  </si>
  <si>
    <t>فيزياء</t>
  </si>
  <si>
    <t>دين</t>
  </si>
  <si>
    <t>بلس</t>
  </si>
  <si>
    <t>ماث</t>
  </si>
  <si>
    <t>ساينس</t>
  </si>
  <si>
    <t xml:space="preserve"> بيت باي بيت إنجليزي  ⬅️ 140 </t>
  </si>
  <si>
    <t>فرنساوي</t>
  </si>
  <si>
    <t>تاريخ</t>
  </si>
  <si>
    <t>فلسفه</t>
  </si>
  <si>
    <t>جغرافيا</t>
  </si>
  <si>
    <t>ب1</t>
  </si>
  <si>
    <t>ب2</t>
  </si>
  <si>
    <t>ب3</t>
  </si>
  <si>
    <t>ب4</t>
  </si>
  <si>
    <t>ب5</t>
  </si>
  <si>
    <t>ب6</t>
  </si>
  <si>
    <t>ع1</t>
  </si>
  <si>
    <t>ع2</t>
  </si>
  <si>
    <t>ع3</t>
  </si>
  <si>
    <t>عام 1</t>
  </si>
  <si>
    <t>عام 3</t>
  </si>
  <si>
    <t>عام 2 بكالوريا</t>
  </si>
  <si>
    <t>سعر الشراء</t>
  </si>
  <si>
    <t>الإجمالي</t>
  </si>
  <si>
    <t>(معلم القراءة)</t>
  </si>
  <si>
    <t>(نون والقلم)</t>
  </si>
  <si>
    <t xml:space="preserve">  (نحو تأسيس سليم  جزاء 1) معلم القراءة</t>
  </si>
  <si>
    <t xml:space="preserve">  (نحو تأسيس سليم  جزاء 2) 1و2و3 ابتدائي</t>
  </si>
  <si>
    <t xml:space="preserve">  (نحو تأسيس سليم  جزاء 2) 4و5و6 ابتدائي</t>
  </si>
  <si>
    <t xml:space="preserve">( نور البيان انجليزي جزء1) </t>
  </si>
  <si>
    <t xml:space="preserve">( نور البيان انجليزي جزء2) </t>
  </si>
  <si>
    <t xml:space="preserve">( نور البيان عربي ) </t>
  </si>
  <si>
    <t xml:space="preserve">( نور البيان حساب ) </t>
  </si>
  <si>
    <t>( ذا بيست ستارت بوك 2)  لونج فاولز</t>
  </si>
  <si>
    <t xml:space="preserve"> ( ذا بيست ستارت بوك 1) شورت فاولز</t>
  </si>
  <si>
    <t>( توب فونكس 1) شورت فاولز</t>
  </si>
  <si>
    <t>( توب فونكس 2)   لونج فاولز</t>
  </si>
  <si>
    <t>( توب جرامر 1)</t>
  </si>
  <si>
    <t>( توب جرامر 2)</t>
  </si>
  <si>
    <t>( توب جرامر 3)</t>
  </si>
  <si>
    <t>( اوكسفورد 5أجزاء)  المجموعه 450</t>
  </si>
  <si>
    <t>( اوكسفورد الجزء الواحد) 100ج</t>
  </si>
  <si>
    <t>( كتاب المطالعة الأولية)</t>
  </si>
  <si>
    <t>(نحو  سندباد جزاء 1)  نحو 1و2و3 ابتدائي</t>
  </si>
  <si>
    <t>(نحو  سندباد جزاء 2)  نحو 4ب</t>
  </si>
  <si>
    <t>(نحو  سندباد جزاء 3)  نحو 5 ابتدائي</t>
  </si>
  <si>
    <t>(نحو  سندباد جزاء 4)  نحو 6ابتداي</t>
  </si>
  <si>
    <t>معلم القراءة</t>
  </si>
  <si>
    <t>تأسيس سليم</t>
  </si>
  <si>
    <t>سندباد</t>
  </si>
  <si>
    <t>نور البيان</t>
  </si>
  <si>
    <t>ذا بيست ستارت</t>
  </si>
  <si>
    <t>توب</t>
  </si>
  <si>
    <t>اوكسفورد</t>
  </si>
  <si>
    <t>قران كريم</t>
  </si>
  <si>
    <t>جزء عم</t>
  </si>
  <si>
    <t>العشر الأخير</t>
  </si>
  <si>
    <t xml:space="preserve">معلم القراءة </t>
  </si>
  <si>
    <t>تاسيس</t>
  </si>
  <si>
    <t>عربي معلم القراءة جزء 1</t>
  </si>
  <si>
    <t>عربي معلم القراءة جزء 2</t>
  </si>
  <si>
    <t>عربي ( كتاب المطالعة الأولية)</t>
  </si>
  <si>
    <t>عربي   (نحو) معلم القراءة</t>
  </si>
  <si>
    <t>عربي   (نحو) 1و2و3 ابتدائي</t>
  </si>
  <si>
    <t>عربي   (نحو) 4و5و6 ابتدائي</t>
  </si>
  <si>
    <t>عربي (نحو)  1و2و3 ابتدائي</t>
  </si>
  <si>
    <t>عربي (نحو)  4 ابتدائي</t>
  </si>
  <si>
    <t>عربي (نحو)  5 ابتدائي</t>
  </si>
  <si>
    <t>عربي (نحو)  6ابتداي</t>
  </si>
  <si>
    <t>انجليزي (الكبير) جزء 1</t>
  </si>
  <si>
    <t>انجليزي (الصغير) جزء 2</t>
  </si>
  <si>
    <t>عربي (تجويد ومدود ونحو)</t>
  </si>
  <si>
    <t>انجليزي (  بوك 1) شورت فاولز</t>
  </si>
  <si>
    <t>انجليزي ( بوك 2)  لونج فاولز</t>
  </si>
  <si>
    <t>انجليزي (جزء 1) شورت فاولز</t>
  </si>
  <si>
    <t>انجليزي ( 2)   لونج فاولز</t>
  </si>
  <si>
    <t>انجليزي ( جرامر 1)</t>
  </si>
  <si>
    <t>انجليزي ( جرامر 2)</t>
  </si>
  <si>
    <t>انجليزي ( جرامر 3)</t>
  </si>
  <si>
    <t>انجليزي ( 5أجزاء)  المجموعه 450</t>
  </si>
  <si>
    <t>انجليزي ( الجزء الواحد) 100ج</t>
  </si>
  <si>
    <t>عربي (نون والقلم) درا الرحمة</t>
  </si>
  <si>
    <t xml:space="preserve"> 2(معلم القراءة)</t>
  </si>
  <si>
    <t xml:space="preserve"> الأضواء عربي بكالوريا ⬅️ 299</t>
  </si>
  <si>
    <t>الكيان عربي اسئلة 4 أجزاء ⬅️ 360</t>
  </si>
  <si>
    <t xml:space="preserve"> المعاصر ماث لغات ⬅️ 260</t>
  </si>
  <si>
    <t xml:space="preserve"> المعاصر ساينس لغات ⬅️ 275</t>
  </si>
  <si>
    <t>امتحان عربي 2 بكالوريا</t>
  </si>
  <si>
    <t>التفوق فيزياء أسئلة</t>
  </si>
  <si>
    <t>عربي أسئلة</t>
  </si>
  <si>
    <t>عربي شرح</t>
  </si>
  <si>
    <t>فاتورة شراء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</si>
</sst>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name val="Arial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/>
  </cellXfs>
  <cellStyles count="1">
    <cellStyle name="عادي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32221-4191-4877-9D07-517759747CAF}" name="الجدول1" displayName="الجدول1" ref="A1:I196" totalsRowCount="1" headerRowDxfId="15" dataDxfId="14">
  <autoFilter ref="A1:I195" xr:uid="{A3732221-4191-4877-9D07-517759747CAF}"/>
  <sortState xmlns:xlrd2="http://schemas.microsoft.com/office/spreadsheetml/2017/richdata2" ref="A59:I193">
    <sortCondition ref="E1:E193"/>
  </sortState>
  <tableColumns count="9">
    <tableColumn id="1" xr3:uid="{931861BC-C1A1-41C8-B2BE-2CE14068F4CF}" name="الصف" totalsRowLabel="الإجمالي" dataDxfId="12" totalsRowDxfId="13"/>
    <tableColumn id="2" xr3:uid="{D244CAF5-BC20-41FA-A7EA-E7F86A4741F0}" name="بيان الأصناف" dataDxfId="10" totalsRowDxfId="11"/>
    <tableColumn id="3" xr3:uid="{18281C2B-AE74-4493-8A8B-816AFDD52349}" name="سعر الغلاف"/>
    <tableColumn id="4" xr3:uid="{0BC2C3D8-7FE3-4D02-BC47-E5D5B75D5119}" name="بعد الخصم" dataDxfId="8" totalsRowDxfId="9">
      <calculatedColumnFormula>C2-C2*15/100</calculatedColumnFormula>
    </tableColumn>
    <tableColumn id="6" xr3:uid="{C8C8358C-407D-46CF-9CD0-E10403825CCB}" name="دار نشر" dataDxfId="6" totalsRowDxfId="7"/>
    <tableColumn id="10" xr3:uid="{77942F0C-9BAA-4860-8BA4-B6342B23E604}" name="مادة" dataDxfId="4" totalsRowDxfId="5"/>
    <tableColumn id="5" xr3:uid="{5145A455-0062-4306-9339-D70135665B07}" name="الصف الدراسي" dataDxfId="2" totalsRowDxfId="3"/>
    <tableColumn id="12" xr3:uid="{06AB1CA4-0028-4BB8-BCD3-540944A0C992}" name="سعر الشراء" dataDxfId="0" totalsRowDxfId="1"/>
    <tableColumn id="13" xr3:uid="{00000000-0010-0000-0000-00000D000000}" name="فاتورة شراء - 1" totalsRowFunction="custom">
      <totalsRowFormula>SUMPRODUCT(الجدول1[فاتورة شراء - 1],الجدول1[سعر الشراء])-(SUMPRODUCT(الجدول1[فاتورة شراء - 1],الجدول1[سعر الشراء])*2%)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8"/>
  <sheetViews>
    <sheetView rightToLeft="1" tabSelected="1" topLeftCell="A118" zoomScale="130" zoomScaleNormal="130" workbookViewId="0">
      <selection activeCell="B137" sqref="B137"/>
    </sheetView>
  </sheetViews>
  <sheetFormatPr defaultColWidth="12.5703125" defaultRowHeight="15.75" customHeight="1" x14ac:dyDescent="0.2"/>
  <cols>
    <col min="1" max="1" width="18.7109375" customWidth="1"/>
    <col min="2" max="2" width="36.28515625" bestFit="1" customWidth="1"/>
    <col min="3" max="3" width="4.85546875" bestFit="1" customWidth="1"/>
    <col min="4" max="4" width="7" bestFit="1" customWidth="1"/>
    <col min="5" max="5" width="7" customWidth="1"/>
    <col min="6" max="6" width="6.85546875" customWidth="1"/>
    <col min="7" max="7" width="7.7109375" customWidth="1"/>
    <col min="8" max="8" width="7.42578125" customWidth="1"/>
  </cols>
  <sheetData>
    <row r="1" spans="1:9" s="9" customFormat="1" ht="12.75" x14ac:dyDescent="0.2">
      <c r="A1" s="5" t="s">
        <v>131</v>
      </c>
      <c r="B1" s="8" t="s">
        <v>135</v>
      </c>
      <c r="C1" s="5" t="s">
        <v>132</v>
      </c>
      <c r="D1" s="5" t="s">
        <v>133</v>
      </c>
      <c r="E1" s="5" t="s">
        <v>134</v>
      </c>
      <c r="F1" s="5" t="s">
        <v>136</v>
      </c>
      <c r="G1" s="5" t="s">
        <v>141</v>
      </c>
      <c r="H1" s="5" t="s">
        <v>179</v>
      </c>
      <c r="I1" s="5" t="s">
        <v>248</v>
      </c>
    </row>
    <row r="2" spans="1:9" ht="12.75" x14ac:dyDescent="0.2">
      <c r="A2" s="5" t="s">
        <v>85</v>
      </c>
      <c r="B2" s="10" t="s">
        <v>181</v>
      </c>
      <c r="C2" s="1">
        <v>10</v>
      </c>
      <c r="D2" s="1">
        <v>10</v>
      </c>
      <c r="E2" s="1" t="s">
        <v>204</v>
      </c>
      <c r="F2" s="1" t="s">
        <v>216</v>
      </c>
      <c r="G2" s="1" t="s">
        <v>215</v>
      </c>
      <c r="H2" s="1">
        <v>8</v>
      </c>
      <c r="I2" s="1"/>
    </row>
    <row r="3" spans="1:9" ht="12.75" x14ac:dyDescent="0.2">
      <c r="A3" s="5" t="s">
        <v>85</v>
      </c>
      <c r="B3" s="10" t="s">
        <v>239</v>
      </c>
      <c r="C3" s="1">
        <v>15</v>
      </c>
      <c r="D3" s="1">
        <v>15</v>
      </c>
      <c r="E3" s="1" t="s">
        <v>204</v>
      </c>
      <c r="F3" s="1" t="s">
        <v>217</v>
      </c>
      <c r="G3" s="1" t="s">
        <v>215</v>
      </c>
      <c r="H3" s="1">
        <v>12</v>
      </c>
      <c r="I3" s="1"/>
    </row>
    <row r="4" spans="1:9" ht="12.75" x14ac:dyDescent="0.2">
      <c r="A4" s="5" t="s">
        <v>85</v>
      </c>
      <c r="B4" s="10" t="s">
        <v>199</v>
      </c>
      <c r="C4" s="1">
        <v>15</v>
      </c>
      <c r="D4" s="1">
        <v>15</v>
      </c>
      <c r="E4" s="1" t="s">
        <v>204</v>
      </c>
      <c r="F4" s="11" t="s">
        <v>218</v>
      </c>
      <c r="G4" s="1" t="s">
        <v>215</v>
      </c>
      <c r="H4" s="1">
        <v>11</v>
      </c>
      <c r="I4" s="1"/>
    </row>
    <row r="5" spans="1:9" ht="12.75" x14ac:dyDescent="0.2">
      <c r="A5" s="5" t="s">
        <v>85</v>
      </c>
      <c r="B5" s="10" t="s">
        <v>182</v>
      </c>
      <c r="C5" s="1">
        <v>25</v>
      </c>
      <c r="D5" s="1">
        <v>25</v>
      </c>
      <c r="E5" s="1" t="s">
        <v>214</v>
      </c>
      <c r="F5" s="11" t="s">
        <v>238</v>
      </c>
      <c r="G5" s="1" t="s">
        <v>215</v>
      </c>
      <c r="H5" s="1">
        <v>20</v>
      </c>
      <c r="I5" s="1"/>
    </row>
    <row r="6" spans="1:9" ht="12.75" x14ac:dyDescent="0.2">
      <c r="A6" s="5" t="s">
        <v>85</v>
      </c>
      <c r="B6" s="6" t="s">
        <v>183</v>
      </c>
      <c r="C6" s="1">
        <v>175</v>
      </c>
      <c r="D6" s="1">
        <v>175</v>
      </c>
      <c r="E6" s="1" t="s">
        <v>205</v>
      </c>
      <c r="F6" s="12" t="s">
        <v>219</v>
      </c>
      <c r="G6" s="1" t="s">
        <v>215</v>
      </c>
      <c r="H6" s="1">
        <f>الجدول1[[#This Row],[سعر الغلاف]]-الجدول1[[#This Row],[سعر الغلاف]]*20/100</f>
        <v>140</v>
      </c>
      <c r="I6" s="1"/>
    </row>
    <row r="7" spans="1:9" ht="12.75" x14ac:dyDescent="0.2">
      <c r="A7" s="5" t="s">
        <v>85</v>
      </c>
      <c r="B7" s="6" t="s">
        <v>184</v>
      </c>
      <c r="C7" s="1">
        <v>175</v>
      </c>
      <c r="D7" s="1">
        <v>175</v>
      </c>
      <c r="E7" s="1" t="s">
        <v>205</v>
      </c>
      <c r="F7" s="12" t="s">
        <v>220</v>
      </c>
      <c r="G7" s="1" t="s">
        <v>215</v>
      </c>
      <c r="H7" s="1">
        <f>الجدول1[[#This Row],[سعر الغلاف]]-الجدول1[[#This Row],[سعر الغلاف]]*20/100</f>
        <v>140</v>
      </c>
      <c r="I7" s="1"/>
    </row>
    <row r="8" spans="1:9" ht="12.75" x14ac:dyDescent="0.2">
      <c r="A8" s="5" t="s">
        <v>85</v>
      </c>
      <c r="B8" s="6" t="s">
        <v>185</v>
      </c>
      <c r="C8" s="1">
        <v>175</v>
      </c>
      <c r="D8" s="1">
        <v>175</v>
      </c>
      <c r="E8" s="1" t="s">
        <v>205</v>
      </c>
      <c r="F8" s="12" t="s">
        <v>221</v>
      </c>
      <c r="G8" s="1" t="s">
        <v>215</v>
      </c>
      <c r="H8" s="1">
        <f>الجدول1[[#This Row],[سعر الغلاف]]-الجدول1[[#This Row],[سعر الغلاف]]*20/100</f>
        <v>140</v>
      </c>
      <c r="I8" s="1"/>
    </row>
    <row r="9" spans="1:9" ht="12.75" x14ac:dyDescent="0.2">
      <c r="A9" s="5" t="s">
        <v>85</v>
      </c>
      <c r="B9" s="10" t="s">
        <v>200</v>
      </c>
      <c r="C9" s="1">
        <v>140</v>
      </c>
      <c r="D9" s="1">
        <v>140</v>
      </c>
      <c r="E9" s="1" t="s">
        <v>206</v>
      </c>
      <c r="F9" s="11" t="s">
        <v>222</v>
      </c>
      <c r="G9" s="1" t="s">
        <v>215</v>
      </c>
      <c r="H9" s="1">
        <f>الجدول1[[#This Row],[سعر الغلاف]]-الجدول1[[#This Row],[سعر الغلاف]]*20/100</f>
        <v>112</v>
      </c>
      <c r="I9" s="1"/>
    </row>
    <row r="10" spans="1:9" ht="12.75" x14ac:dyDescent="0.2">
      <c r="A10" s="5" t="s">
        <v>85</v>
      </c>
      <c r="B10" s="10" t="s">
        <v>201</v>
      </c>
      <c r="C10" s="1">
        <v>140</v>
      </c>
      <c r="D10" s="1">
        <v>140</v>
      </c>
      <c r="E10" s="1" t="s">
        <v>206</v>
      </c>
      <c r="F10" s="11" t="s">
        <v>223</v>
      </c>
      <c r="G10" s="1" t="s">
        <v>215</v>
      </c>
      <c r="H10" s="1">
        <f>الجدول1[[#This Row],[سعر الغلاف]]-الجدول1[[#This Row],[سعر الغلاف]]*20/100</f>
        <v>112</v>
      </c>
      <c r="I10" s="1"/>
    </row>
    <row r="11" spans="1:9" ht="12.75" x14ac:dyDescent="0.2">
      <c r="A11" s="5" t="s">
        <v>85</v>
      </c>
      <c r="B11" s="10" t="s">
        <v>202</v>
      </c>
      <c r="C11" s="1">
        <v>140</v>
      </c>
      <c r="D11" s="1">
        <v>140</v>
      </c>
      <c r="E11" s="1" t="s">
        <v>206</v>
      </c>
      <c r="F11" s="11" t="s">
        <v>224</v>
      </c>
      <c r="G11" s="1" t="s">
        <v>215</v>
      </c>
      <c r="H11" s="1">
        <f>الجدول1[[#This Row],[سعر الغلاف]]-الجدول1[[#This Row],[سعر الغلاف]]*20/100</f>
        <v>112</v>
      </c>
      <c r="I11" s="1"/>
    </row>
    <row r="12" spans="1:9" ht="12.75" x14ac:dyDescent="0.2">
      <c r="A12" s="5" t="s">
        <v>85</v>
      </c>
      <c r="B12" s="10" t="s">
        <v>203</v>
      </c>
      <c r="C12" s="1">
        <v>140</v>
      </c>
      <c r="D12" s="1">
        <v>140</v>
      </c>
      <c r="E12" s="1" t="s">
        <v>206</v>
      </c>
      <c r="F12" s="11" t="s">
        <v>225</v>
      </c>
      <c r="G12" s="1" t="s">
        <v>215</v>
      </c>
      <c r="H12" s="1">
        <f>الجدول1[[#This Row],[سعر الغلاف]]-الجدول1[[#This Row],[سعر الغلاف]]*20/100</f>
        <v>112</v>
      </c>
      <c r="I12" s="1"/>
    </row>
    <row r="13" spans="1:9" ht="12.75" x14ac:dyDescent="0.2">
      <c r="A13" s="5" t="s">
        <v>85</v>
      </c>
      <c r="B13" s="10" t="s">
        <v>186</v>
      </c>
      <c r="C13" s="1">
        <v>25</v>
      </c>
      <c r="D13" s="1">
        <v>25</v>
      </c>
      <c r="E13" s="1" t="s">
        <v>207</v>
      </c>
      <c r="F13" s="11" t="s">
        <v>226</v>
      </c>
      <c r="G13" s="1" t="s">
        <v>215</v>
      </c>
      <c r="H13" s="1">
        <v>20</v>
      </c>
      <c r="I13" s="1"/>
    </row>
    <row r="14" spans="1:9" ht="12.75" x14ac:dyDescent="0.2">
      <c r="A14" s="5" t="s">
        <v>85</v>
      </c>
      <c r="B14" s="10" t="s">
        <v>187</v>
      </c>
      <c r="C14" s="1">
        <v>25</v>
      </c>
      <c r="D14" s="1">
        <v>25</v>
      </c>
      <c r="E14" s="1" t="s">
        <v>207</v>
      </c>
      <c r="F14" s="11" t="s">
        <v>227</v>
      </c>
      <c r="G14" s="1" t="s">
        <v>215</v>
      </c>
      <c r="H14" s="1">
        <v>20</v>
      </c>
      <c r="I14" s="1"/>
    </row>
    <row r="15" spans="1:9" ht="12.75" x14ac:dyDescent="0.2">
      <c r="A15" s="5" t="s">
        <v>85</v>
      </c>
      <c r="B15" s="10" t="s">
        <v>188</v>
      </c>
      <c r="C15" s="1">
        <v>25</v>
      </c>
      <c r="D15" s="1">
        <v>25</v>
      </c>
      <c r="E15" s="1" t="s">
        <v>207</v>
      </c>
      <c r="F15" s="11" t="s">
        <v>228</v>
      </c>
      <c r="G15" s="1" t="s">
        <v>215</v>
      </c>
      <c r="H15" s="1">
        <v>20</v>
      </c>
      <c r="I15" s="1"/>
    </row>
    <row r="16" spans="1:9" ht="12.75" x14ac:dyDescent="0.2">
      <c r="A16" s="5" t="s">
        <v>85</v>
      </c>
      <c r="B16" s="10" t="s">
        <v>189</v>
      </c>
      <c r="C16" s="1">
        <v>25</v>
      </c>
      <c r="D16" s="1">
        <v>25</v>
      </c>
      <c r="E16" s="1" t="s">
        <v>207</v>
      </c>
      <c r="F16" s="11" t="s">
        <v>152</v>
      </c>
      <c r="G16" s="1" t="s">
        <v>215</v>
      </c>
      <c r="H16" s="1">
        <v>20</v>
      </c>
      <c r="I16" s="1"/>
    </row>
    <row r="17" spans="1:9" ht="12.75" x14ac:dyDescent="0.2">
      <c r="A17" s="5" t="s">
        <v>85</v>
      </c>
      <c r="B17" s="10" t="s">
        <v>191</v>
      </c>
      <c r="C17" s="1">
        <v>80</v>
      </c>
      <c r="D17" s="1">
        <v>80</v>
      </c>
      <c r="E17" s="1" t="s">
        <v>208</v>
      </c>
      <c r="F17" s="11" t="s">
        <v>229</v>
      </c>
      <c r="G17" s="1" t="s">
        <v>215</v>
      </c>
      <c r="H17" s="1">
        <f>الجدول1[[#This Row],[سعر الغلاف]]-الجدول1[[#This Row],[سعر الغلاف]]*20/100</f>
        <v>64</v>
      </c>
      <c r="I17" s="1"/>
    </row>
    <row r="18" spans="1:9" ht="12.75" x14ac:dyDescent="0.2">
      <c r="A18" s="5" t="s">
        <v>85</v>
      </c>
      <c r="B18" s="10" t="s">
        <v>190</v>
      </c>
      <c r="C18" s="1">
        <v>100</v>
      </c>
      <c r="D18" s="1">
        <v>100</v>
      </c>
      <c r="E18" s="1" t="s">
        <v>208</v>
      </c>
      <c r="F18" s="11" t="s">
        <v>230</v>
      </c>
      <c r="G18" s="1" t="s">
        <v>215</v>
      </c>
      <c r="H18" s="1">
        <f>الجدول1[[#This Row],[سعر الغلاف]]-الجدول1[[#This Row],[سعر الغلاف]]*20/100</f>
        <v>80</v>
      </c>
      <c r="I18" s="1"/>
    </row>
    <row r="19" spans="1:9" ht="12.75" x14ac:dyDescent="0.2">
      <c r="A19" s="5" t="s">
        <v>85</v>
      </c>
      <c r="B19" s="10" t="s">
        <v>192</v>
      </c>
      <c r="C19" s="1">
        <v>70</v>
      </c>
      <c r="D19" s="1">
        <v>70</v>
      </c>
      <c r="E19" s="1" t="s">
        <v>209</v>
      </c>
      <c r="F19" s="11" t="s">
        <v>231</v>
      </c>
      <c r="G19" s="1" t="s">
        <v>215</v>
      </c>
      <c r="H19" s="1">
        <f>الجدول1[[#This Row],[سعر الغلاف]]-الجدول1[[#This Row],[سعر الغلاف]]*20/100</f>
        <v>56</v>
      </c>
      <c r="I19" s="1"/>
    </row>
    <row r="20" spans="1:9" ht="12.75" x14ac:dyDescent="0.2">
      <c r="A20" s="5" t="s">
        <v>85</v>
      </c>
      <c r="B20" s="10" t="s">
        <v>193</v>
      </c>
      <c r="C20" s="1">
        <v>90</v>
      </c>
      <c r="D20" s="1">
        <v>90</v>
      </c>
      <c r="E20" s="1" t="s">
        <v>209</v>
      </c>
      <c r="F20" s="11" t="s">
        <v>232</v>
      </c>
      <c r="G20" s="1" t="s">
        <v>215</v>
      </c>
      <c r="H20" s="1">
        <f>الجدول1[[#This Row],[سعر الغلاف]]-الجدول1[[#This Row],[سعر الغلاف]]*20/100</f>
        <v>72</v>
      </c>
      <c r="I20" s="1"/>
    </row>
    <row r="21" spans="1:9" ht="12.75" x14ac:dyDescent="0.2">
      <c r="A21" s="5" t="s">
        <v>85</v>
      </c>
      <c r="B21" s="10" t="s">
        <v>194</v>
      </c>
      <c r="C21" s="1">
        <v>95</v>
      </c>
      <c r="D21" s="1">
        <v>95</v>
      </c>
      <c r="E21" s="1" t="s">
        <v>209</v>
      </c>
      <c r="F21" s="11" t="s">
        <v>233</v>
      </c>
      <c r="G21" s="1" t="s">
        <v>215</v>
      </c>
      <c r="H21" s="1">
        <f>الجدول1[[#This Row],[سعر الغلاف]]-الجدول1[[#This Row],[سعر الغلاف]]*20/100</f>
        <v>76</v>
      </c>
      <c r="I21" s="1"/>
    </row>
    <row r="22" spans="1:9" ht="12.75" x14ac:dyDescent="0.2">
      <c r="A22" s="5" t="s">
        <v>85</v>
      </c>
      <c r="B22" s="10" t="s">
        <v>195</v>
      </c>
      <c r="C22" s="1">
        <v>95</v>
      </c>
      <c r="D22" s="1">
        <v>95</v>
      </c>
      <c r="E22" s="1" t="s">
        <v>209</v>
      </c>
      <c r="F22" s="11" t="s">
        <v>234</v>
      </c>
      <c r="G22" s="1" t="s">
        <v>215</v>
      </c>
      <c r="H22" s="1">
        <f>الجدول1[[#This Row],[سعر الغلاف]]-الجدول1[[#This Row],[سعر الغلاف]]*20/100</f>
        <v>76</v>
      </c>
      <c r="I22" s="1"/>
    </row>
    <row r="23" spans="1:9" ht="12.75" x14ac:dyDescent="0.2">
      <c r="A23" s="5" t="s">
        <v>85</v>
      </c>
      <c r="B23" s="10" t="s">
        <v>196</v>
      </c>
      <c r="C23" s="1">
        <v>115</v>
      </c>
      <c r="D23" s="1">
        <v>115</v>
      </c>
      <c r="E23" s="1" t="s">
        <v>209</v>
      </c>
      <c r="F23" s="11" t="s">
        <v>235</v>
      </c>
      <c r="G23" s="1" t="s">
        <v>215</v>
      </c>
      <c r="H23" s="1">
        <f>الجدول1[[#This Row],[سعر الغلاف]]-الجدول1[[#This Row],[سعر الغلاف]]*20/100</f>
        <v>92</v>
      </c>
      <c r="I23" s="1"/>
    </row>
    <row r="24" spans="1:9" ht="12.75" x14ac:dyDescent="0.2">
      <c r="A24" s="5" t="s">
        <v>85</v>
      </c>
      <c r="B24" s="10" t="s">
        <v>197</v>
      </c>
      <c r="C24" s="1">
        <v>450</v>
      </c>
      <c r="D24" s="1">
        <v>450</v>
      </c>
      <c r="E24" s="1" t="s">
        <v>210</v>
      </c>
      <c r="F24" s="11" t="s">
        <v>236</v>
      </c>
      <c r="G24" s="1" t="s">
        <v>215</v>
      </c>
      <c r="H24" s="1">
        <f>الجدول1[[#This Row],[سعر الغلاف]]-الجدول1[[#This Row],[سعر الغلاف]]*20/100</f>
        <v>360</v>
      </c>
      <c r="I24" s="1"/>
    </row>
    <row r="25" spans="1:9" ht="12.75" x14ac:dyDescent="0.2">
      <c r="A25" s="5" t="s">
        <v>85</v>
      </c>
      <c r="B25" s="10" t="s">
        <v>198</v>
      </c>
      <c r="C25" s="1">
        <v>100</v>
      </c>
      <c r="D25" s="1">
        <v>100</v>
      </c>
      <c r="E25" s="1" t="s">
        <v>210</v>
      </c>
      <c r="F25" s="11" t="s">
        <v>237</v>
      </c>
      <c r="G25" s="1" t="s">
        <v>215</v>
      </c>
      <c r="H25" s="1">
        <f>الجدول1[[#This Row],[سعر الغلاف]]-الجدول1[[#This Row],[سعر الغلاف]]*20/100</f>
        <v>80</v>
      </c>
      <c r="I25" s="1"/>
    </row>
    <row r="26" spans="1:9" ht="12.75" x14ac:dyDescent="0.2">
      <c r="A26" s="5" t="s">
        <v>85</v>
      </c>
      <c r="B26" s="10" t="s">
        <v>212</v>
      </c>
      <c r="C26" s="1">
        <v>5</v>
      </c>
      <c r="D26" s="1">
        <v>5</v>
      </c>
      <c r="E26" s="1" t="s">
        <v>211</v>
      </c>
      <c r="F26" s="10" t="s">
        <v>212</v>
      </c>
      <c r="G26" s="1" t="s">
        <v>215</v>
      </c>
      <c r="H26" s="1">
        <v>3.5</v>
      </c>
      <c r="I26" s="1"/>
    </row>
    <row r="27" spans="1:9" ht="25.5" x14ac:dyDescent="0.2">
      <c r="A27" s="5" t="s">
        <v>85</v>
      </c>
      <c r="B27" s="10" t="s">
        <v>213</v>
      </c>
      <c r="C27" s="1">
        <v>10</v>
      </c>
      <c r="D27" s="1">
        <v>10</v>
      </c>
      <c r="E27" s="1" t="s">
        <v>211</v>
      </c>
      <c r="F27" s="10" t="s">
        <v>213</v>
      </c>
      <c r="G27" s="1" t="s">
        <v>215</v>
      </c>
      <c r="H27" s="1">
        <v>8</v>
      </c>
      <c r="I27" s="1"/>
    </row>
    <row r="28" spans="1:9" ht="12.75" x14ac:dyDescent="0.2">
      <c r="A28" s="1" t="s">
        <v>55</v>
      </c>
      <c r="B28" s="1" t="s">
        <v>2</v>
      </c>
      <c r="C28" s="1">
        <v>180</v>
      </c>
      <c r="D28" s="1">
        <f t="shared" ref="D28:D32" si="0">C28-C28*15/100</f>
        <v>153</v>
      </c>
      <c r="E28" s="1" t="s">
        <v>137</v>
      </c>
      <c r="F28" s="1" t="s">
        <v>151</v>
      </c>
      <c r="G28" s="1" t="s">
        <v>167</v>
      </c>
      <c r="H28" s="13">
        <f>الجدول1[[#This Row],[سعر الغلاف]]-الجدول1[[#This Row],[سعر الغلاف]]*17.5%</f>
        <v>148.5</v>
      </c>
      <c r="I28" s="1"/>
    </row>
    <row r="29" spans="1:9" ht="12.75" x14ac:dyDescent="0.2">
      <c r="A29" s="1" t="s">
        <v>55</v>
      </c>
      <c r="B29" s="1" t="s">
        <v>3</v>
      </c>
      <c r="C29" s="1">
        <v>170</v>
      </c>
      <c r="D29" s="1">
        <f t="shared" si="0"/>
        <v>144.5</v>
      </c>
      <c r="E29" s="1" t="s">
        <v>137</v>
      </c>
      <c r="F29" s="1" t="s">
        <v>152</v>
      </c>
      <c r="G29" s="1" t="s">
        <v>167</v>
      </c>
      <c r="H29" s="13">
        <f>الجدول1[[#This Row],[سعر الغلاف]]-الجدول1[[#This Row],[سعر الغلاف]]*17.5%</f>
        <v>140.25</v>
      </c>
      <c r="I29" s="1"/>
    </row>
    <row r="30" spans="1:9" ht="12.75" x14ac:dyDescent="0.2">
      <c r="A30" s="1" t="s">
        <v>55</v>
      </c>
      <c r="B30" s="1" t="s">
        <v>4</v>
      </c>
      <c r="C30" s="1">
        <v>130</v>
      </c>
      <c r="D30" s="1">
        <v>130</v>
      </c>
      <c r="E30" s="1" t="s">
        <v>137</v>
      </c>
      <c r="F30" s="1" t="s">
        <v>158</v>
      </c>
      <c r="G30" s="1" t="s">
        <v>167</v>
      </c>
      <c r="H30" s="13">
        <f>الجدول1[[#This Row],[سعر الغلاف]]-الجدول1[[#This Row],[سعر الغلاف]]*17.5%</f>
        <v>107.25</v>
      </c>
      <c r="I30" s="1"/>
    </row>
    <row r="31" spans="1:9" ht="12.75" x14ac:dyDescent="0.2">
      <c r="A31" s="1" t="s">
        <v>55</v>
      </c>
      <c r="B31" s="1" t="s">
        <v>5</v>
      </c>
      <c r="C31" s="1">
        <v>149</v>
      </c>
      <c r="D31" s="1">
        <f t="shared" si="0"/>
        <v>126.65</v>
      </c>
      <c r="E31" s="1" t="s">
        <v>138</v>
      </c>
      <c r="F31" s="1" t="s">
        <v>152</v>
      </c>
      <c r="G31" s="1" t="s">
        <v>167</v>
      </c>
      <c r="H31" s="1">
        <f>الجدول1[[#This Row],[سعر الغلاف]]-الجدول1[[#This Row],[سعر الغلاف]]*18%</f>
        <v>122.18</v>
      </c>
      <c r="I31" s="1"/>
    </row>
    <row r="32" spans="1:9" ht="12.75" x14ac:dyDescent="0.2">
      <c r="A32" s="1" t="s">
        <v>55</v>
      </c>
      <c r="B32" s="1" t="s">
        <v>6</v>
      </c>
      <c r="C32" s="1">
        <v>159</v>
      </c>
      <c r="D32" s="1">
        <f t="shared" si="0"/>
        <v>135.15</v>
      </c>
      <c r="E32" s="1" t="s">
        <v>138</v>
      </c>
      <c r="F32" s="1" t="s">
        <v>151</v>
      </c>
      <c r="G32" s="1" t="s">
        <v>167</v>
      </c>
      <c r="H32" s="1">
        <f>الجدول1[[#This Row],[سعر الغلاف]]-الجدول1[[#This Row],[سعر الغلاف]]*18%</f>
        <v>130.38</v>
      </c>
      <c r="I32" s="1"/>
    </row>
    <row r="33" spans="1:9" ht="12.75" x14ac:dyDescent="0.2">
      <c r="A33" s="1" t="s">
        <v>55</v>
      </c>
      <c r="B33" s="1" t="s">
        <v>115</v>
      </c>
      <c r="C33" s="1">
        <v>129</v>
      </c>
      <c r="D33" s="1">
        <v>0</v>
      </c>
      <c r="E33" s="1" t="s">
        <v>138</v>
      </c>
      <c r="F33" s="1" t="s">
        <v>158</v>
      </c>
      <c r="G33" s="1" t="s">
        <v>167</v>
      </c>
      <c r="H33" s="1">
        <f>الجدول1[[#This Row],[سعر الغلاف]]-الجدول1[[#This Row],[سعر الغلاف]]*18%</f>
        <v>105.78</v>
      </c>
      <c r="I33" s="1"/>
    </row>
    <row r="34" spans="1:9" ht="12.75" x14ac:dyDescent="0.2">
      <c r="A34" s="1" t="s">
        <v>55</v>
      </c>
      <c r="B34" s="1" t="s">
        <v>7</v>
      </c>
      <c r="C34" s="1">
        <v>165</v>
      </c>
      <c r="D34" s="1">
        <f>C34-C34*15/100</f>
        <v>140.25</v>
      </c>
      <c r="E34" s="1" t="s">
        <v>138</v>
      </c>
      <c r="F34" s="1" t="s">
        <v>150</v>
      </c>
      <c r="G34" s="1" t="s">
        <v>167</v>
      </c>
      <c r="H34" s="1">
        <f>الجدول1[[#This Row],[سعر الغلاف]]-الجدول1[[#This Row],[سعر الغلاف]]*18%</f>
        <v>135.30000000000001</v>
      </c>
      <c r="I34" s="1"/>
    </row>
    <row r="35" spans="1:9" ht="12.75" x14ac:dyDescent="0.2">
      <c r="A35" s="1" t="s">
        <v>55</v>
      </c>
      <c r="B35" s="1" t="s">
        <v>8</v>
      </c>
      <c r="C35" s="1">
        <v>165</v>
      </c>
      <c r="D35" s="1">
        <f>C35-C35*15/100</f>
        <v>140.25</v>
      </c>
      <c r="E35" s="1" t="s">
        <v>143</v>
      </c>
      <c r="F35" s="1" t="s">
        <v>150</v>
      </c>
      <c r="G35" s="1" t="s">
        <v>167</v>
      </c>
      <c r="H35" s="1">
        <f>الجدول1[[#This Row],[سعر الغلاف]]-الجدول1[[#This Row],[سعر الغلاف]]*20/100</f>
        <v>132</v>
      </c>
      <c r="I35" s="1"/>
    </row>
    <row r="36" spans="1:9" ht="12.75" x14ac:dyDescent="0.2">
      <c r="A36" s="1" t="s">
        <v>55</v>
      </c>
      <c r="B36" s="1" t="s">
        <v>9</v>
      </c>
      <c r="C36" s="1">
        <v>135</v>
      </c>
      <c r="D36" s="1">
        <f>C36-C36*15/100</f>
        <v>114.75</v>
      </c>
      <c r="E36" s="1" t="s">
        <v>142</v>
      </c>
      <c r="F36" s="1" t="s">
        <v>150</v>
      </c>
      <c r="G36" s="1" t="s">
        <v>167</v>
      </c>
      <c r="H36" s="1">
        <f>الجدول1[[#This Row],[سعر الغلاف]]-الجدول1[[#This Row],[سعر الغلاف]]*18%</f>
        <v>110.7</v>
      </c>
      <c r="I36" s="1"/>
    </row>
    <row r="37" spans="1:9" ht="12.75" x14ac:dyDescent="0.2">
      <c r="A37" s="1" t="s">
        <v>55</v>
      </c>
      <c r="B37" s="1" t="s">
        <v>10</v>
      </c>
      <c r="C37" s="1">
        <v>175</v>
      </c>
      <c r="D37" s="1">
        <f>C37-C37*15/100</f>
        <v>148.75</v>
      </c>
      <c r="E37" s="1" t="s">
        <v>140</v>
      </c>
      <c r="F37" s="1" t="s">
        <v>150</v>
      </c>
      <c r="G37" s="1" t="s">
        <v>167</v>
      </c>
      <c r="H37" s="1">
        <f>الجدول1[[#This Row],[سعر الغلاف]]-الجدول1[[#This Row],[سعر الغلاف]]*18%</f>
        <v>143.5</v>
      </c>
      <c r="I37" s="1"/>
    </row>
    <row r="38" spans="1:9" ht="12.75" x14ac:dyDescent="0.2">
      <c r="A38" s="1" t="s">
        <v>55</v>
      </c>
      <c r="B38" s="1" t="s">
        <v>112</v>
      </c>
      <c r="C38" s="1">
        <v>199</v>
      </c>
      <c r="D38" s="1">
        <v>0</v>
      </c>
      <c r="E38" s="1" t="s">
        <v>140</v>
      </c>
      <c r="F38" s="1" t="s">
        <v>159</v>
      </c>
      <c r="G38" s="1" t="s">
        <v>167</v>
      </c>
      <c r="H38" s="1">
        <f>الجدول1[[#This Row],[سعر الغلاف]]-الجدول1[[#This Row],[سعر الغلاف]]*18%</f>
        <v>163.18</v>
      </c>
      <c r="I38" s="1"/>
    </row>
    <row r="39" spans="1:9" ht="12.75" x14ac:dyDescent="0.2">
      <c r="A39" s="1" t="s">
        <v>55</v>
      </c>
      <c r="B39" s="1" t="s">
        <v>106</v>
      </c>
      <c r="C39" s="1">
        <v>255</v>
      </c>
      <c r="D39" s="1">
        <v>0</v>
      </c>
      <c r="E39" s="1" t="s">
        <v>140</v>
      </c>
      <c r="F39" s="1" t="s">
        <v>160</v>
      </c>
      <c r="G39" s="1" t="s">
        <v>167</v>
      </c>
      <c r="H39" s="1">
        <f>الجدول1[[#This Row],[سعر الغلاف]]-الجدول1[[#This Row],[سعر الغلاف]]*18%</f>
        <v>209.1</v>
      </c>
      <c r="I39" s="1"/>
    </row>
    <row r="40" spans="1:9" ht="12.75" x14ac:dyDescent="0.2">
      <c r="A40" s="1" t="s">
        <v>55</v>
      </c>
      <c r="B40" s="1" t="s">
        <v>11</v>
      </c>
      <c r="C40" s="1">
        <v>165</v>
      </c>
      <c r="D40" s="1">
        <f>C40-C40*15/100</f>
        <v>140.25</v>
      </c>
      <c r="E40" s="1" t="s">
        <v>140</v>
      </c>
      <c r="F40" s="1" t="s">
        <v>152</v>
      </c>
      <c r="G40" s="1" t="s">
        <v>167</v>
      </c>
      <c r="H40" s="1">
        <f>الجدول1[[#This Row],[سعر الغلاف]]-الجدول1[[#This Row],[سعر الغلاف]]*18%</f>
        <v>135.30000000000001</v>
      </c>
      <c r="I40" s="1"/>
    </row>
    <row r="41" spans="1:9" ht="12.75" x14ac:dyDescent="0.2">
      <c r="A41" s="1" t="s">
        <v>56</v>
      </c>
      <c r="B41" s="1" t="s">
        <v>2</v>
      </c>
      <c r="C41" s="1">
        <v>180</v>
      </c>
      <c r="D41" s="1">
        <f>C41-C41*15/100</f>
        <v>153</v>
      </c>
      <c r="E41" s="1" t="s">
        <v>137</v>
      </c>
      <c r="F41" s="1" t="s">
        <v>151</v>
      </c>
      <c r="G41" s="1" t="s">
        <v>168</v>
      </c>
      <c r="H41" s="13">
        <f>الجدول1[[#This Row],[سعر الغلاف]]-الجدول1[[#This Row],[سعر الغلاف]]*17.5%</f>
        <v>148.5</v>
      </c>
      <c r="I41" s="1"/>
    </row>
    <row r="42" spans="1:9" ht="12.75" x14ac:dyDescent="0.2">
      <c r="A42" s="1" t="s">
        <v>56</v>
      </c>
      <c r="B42" s="1" t="s">
        <v>3</v>
      </c>
      <c r="C42" s="1">
        <v>170</v>
      </c>
      <c r="D42" s="1">
        <f>C42-C42*15/100</f>
        <v>144.5</v>
      </c>
      <c r="E42" s="1" t="s">
        <v>137</v>
      </c>
      <c r="F42" s="1" t="s">
        <v>152</v>
      </c>
      <c r="G42" s="1" t="s">
        <v>168</v>
      </c>
      <c r="H42" s="13">
        <f>الجدول1[[#This Row],[سعر الغلاف]]-الجدول1[[#This Row],[سعر الغلاف]]*17.5%</f>
        <v>140.25</v>
      </c>
      <c r="I42" s="1"/>
    </row>
    <row r="43" spans="1:9" ht="12.75" x14ac:dyDescent="0.2">
      <c r="A43" s="1" t="s">
        <v>56</v>
      </c>
      <c r="B43" s="1" t="s">
        <v>117</v>
      </c>
      <c r="C43" s="1">
        <v>140</v>
      </c>
      <c r="D43" s="1">
        <v>0</v>
      </c>
      <c r="E43" s="1" t="s">
        <v>137</v>
      </c>
      <c r="F43" s="1" t="s">
        <v>158</v>
      </c>
      <c r="G43" s="1" t="s">
        <v>168</v>
      </c>
      <c r="H43" s="13">
        <f>الجدول1[[#This Row],[سعر الغلاف]]-الجدول1[[#This Row],[سعر الغلاف]]*17.5%</f>
        <v>115.5</v>
      </c>
      <c r="I43" s="1"/>
    </row>
    <row r="44" spans="1:9" ht="12.75" x14ac:dyDescent="0.2">
      <c r="A44" s="1" t="s">
        <v>56</v>
      </c>
      <c r="B44" s="1" t="s">
        <v>12</v>
      </c>
      <c r="C44" s="1">
        <v>159</v>
      </c>
      <c r="D44" s="1">
        <f>C44-C44*15/100</f>
        <v>135.15</v>
      </c>
      <c r="E44" s="1" t="s">
        <v>138</v>
      </c>
      <c r="F44" s="1" t="s">
        <v>152</v>
      </c>
      <c r="G44" s="1" t="s">
        <v>168</v>
      </c>
      <c r="H44" s="1">
        <f>الجدول1[[#This Row],[سعر الغلاف]]-الجدول1[[#This Row],[سعر الغلاف]]*18%</f>
        <v>130.38</v>
      </c>
      <c r="I44" s="1"/>
    </row>
    <row r="45" spans="1:9" ht="12.75" x14ac:dyDescent="0.2">
      <c r="A45" s="1" t="s">
        <v>56</v>
      </c>
      <c r="B45" s="1" t="s">
        <v>6</v>
      </c>
      <c r="C45" s="1">
        <v>159</v>
      </c>
      <c r="D45" s="1">
        <f>C45-C45*15/100</f>
        <v>135.15</v>
      </c>
      <c r="E45" s="1" t="s">
        <v>138</v>
      </c>
      <c r="F45" s="1" t="s">
        <v>151</v>
      </c>
      <c r="G45" s="1" t="s">
        <v>168</v>
      </c>
      <c r="H45" s="1">
        <f>الجدول1[[#This Row],[سعر الغلاف]]-الجدول1[[#This Row],[سعر الغلاف]]*18%</f>
        <v>130.38</v>
      </c>
      <c r="I45" s="1"/>
    </row>
    <row r="46" spans="1:9" ht="12.75" x14ac:dyDescent="0.2">
      <c r="A46" s="1" t="s">
        <v>56</v>
      </c>
      <c r="B46" s="1" t="s">
        <v>116</v>
      </c>
      <c r="C46" s="1">
        <v>139</v>
      </c>
      <c r="D46" s="1">
        <v>0</v>
      </c>
      <c r="E46" s="1" t="s">
        <v>138</v>
      </c>
      <c r="F46" s="1" t="s">
        <v>158</v>
      </c>
      <c r="G46" s="1" t="s">
        <v>168</v>
      </c>
      <c r="H46" s="1">
        <f>الجدول1[[#This Row],[سعر الغلاف]]-الجدول1[[#This Row],[سعر الغلاف]]*18%</f>
        <v>113.98</v>
      </c>
      <c r="I46" s="1"/>
    </row>
    <row r="47" spans="1:9" ht="12.75" x14ac:dyDescent="0.2">
      <c r="A47" s="1" t="s">
        <v>56</v>
      </c>
      <c r="B47" s="1" t="s">
        <v>7</v>
      </c>
      <c r="C47" s="1">
        <v>165</v>
      </c>
      <c r="D47" s="1">
        <f t="shared" ref="D47:D54" si="1">C47-C47*15/100</f>
        <v>140.25</v>
      </c>
      <c r="E47" s="1" t="s">
        <v>138</v>
      </c>
      <c r="F47" s="1" t="s">
        <v>150</v>
      </c>
      <c r="G47" s="1" t="s">
        <v>168</v>
      </c>
      <c r="H47" s="1">
        <f>الجدول1[[#This Row],[سعر الغلاف]]-الجدول1[[#This Row],[سعر الغلاف]]*18%</f>
        <v>135.30000000000001</v>
      </c>
      <c r="I47" s="1"/>
    </row>
    <row r="48" spans="1:9" ht="12.75" x14ac:dyDescent="0.2">
      <c r="A48" s="1" t="s">
        <v>56</v>
      </c>
      <c r="B48" s="1" t="s">
        <v>8</v>
      </c>
      <c r="C48" s="1">
        <v>165</v>
      </c>
      <c r="D48" s="1">
        <f t="shared" si="1"/>
        <v>140.25</v>
      </c>
      <c r="E48" s="1" t="s">
        <v>143</v>
      </c>
      <c r="F48" s="1" t="s">
        <v>150</v>
      </c>
      <c r="G48" s="1" t="s">
        <v>168</v>
      </c>
      <c r="H48" s="1">
        <f>الجدول1[[#This Row],[سعر الغلاف]]-الجدول1[[#This Row],[سعر الغلاف]]*20/100</f>
        <v>132</v>
      </c>
      <c r="I48" s="1"/>
    </row>
    <row r="49" spans="1:9" ht="12.75" x14ac:dyDescent="0.2">
      <c r="A49" s="1" t="s">
        <v>56</v>
      </c>
      <c r="B49" s="1" t="s">
        <v>9</v>
      </c>
      <c r="C49" s="1">
        <v>135</v>
      </c>
      <c r="D49" s="1">
        <f t="shared" si="1"/>
        <v>114.75</v>
      </c>
      <c r="E49" s="1" t="s">
        <v>142</v>
      </c>
      <c r="F49" s="1" t="s">
        <v>150</v>
      </c>
      <c r="G49" s="1" t="s">
        <v>168</v>
      </c>
      <c r="H49" s="1">
        <f>الجدول1[[#This Row],[سعر الغلاف]]-الجدول1[[#This Row],[سعر الغلاف]]*18%</f>
        <v>110.7</v>
      </c>
      <c r="I49" s="1"/>
    </row>
    <row r="50" spans="1:9" ht="12.75" x14ac:dyDescent="0.2">
      <c r="A50" s="1" t="s">
        <v>56</v>
      </c>
      <c r="B50" s="1" t="s">
        <v>10</v>
      </c>
      <c r="C50" s="1">
        <v>175</v>
      </c>
      <c r="D50" s="1">
        <f t="shared" si="1"/>
        <v>148.75</v>
      </c>
      <c r="E50" s="1" t="s">
        <v>140</v>
      </c>
      <c r="F50" s="1" t="s">
        <v>150</v>
      </c>
      <c r="G50" s="1" t="s">
        <v>168</v>
      </c>
      <c r="H50" s="1">
        <f>الجدول1[[#This Row],[سعر الغلاف]]-الجدول1[[#This Row],[سعر الغلاف]]*18%</f>
        <v>143.5</v>
      </c>
      <c r="I50" s="1"/>
    </row>
    <row r="51" spans="1:9" ht="12.75" x14ac:dyDescent="0.2">
      <c r="A51" s="1" t="s">
        <v>56</v>
      </c>
      <c r="B51" s="1" t="s">
        <v>112</v>
      </c>
      <c r="C51" s="1">
        <v>199</v>
      </c>
      <c r="D51" s="1">
        <v>0</v>
      </c>
      <c r="E51" s="1" t="s">
        <v>140</v>
      </c>
      <c r="F51" s="1" t="s">
        <v>159</v>
      </c>
      <c r="G51" s="1" t="s">
        <v>168</v>
      </c>
      <c r="H51" s="1">
        <f>الجدول1[[#This Row],[سعر الغلاف]]-الجدول1[[#This Row],[سعر الغلاف]]*18%</f>
        <v>163.18</v>
      </c>
      <c r="I51" s="1"/>
    </row>
    <row r="52" spans="1:9" ht="12.75" x14ac:dyDescent="0.2">
      <c r="A52" s="1" t="s">
        <v>56</v>
      </c>
      <c r="B52" s="1" t="s">
        <v>242</v>
      </c>
      <c r="C52" s="1">
        <v>260</v>
      </c>
      <c r="D52" s="1">
        <v>0</v>
      </c>
      <c r="E52" s="1" t="s">
        <v>140</v>
      </c>
      <c r="F52" s="1" t="s">
        <v>160</v>
      </c>
      <c r="G52" s="1" t="s">
        <v>168</v>
      </c>
      <c r="H52" s="1">
        <f>الجدول1[[#This Row],[سعر الغلاف]]-الجدول1[[#This Row],[سعر الغلاف]]*18%</f>
        <v>213.2</v>
      </c>
      <c r="I52" s="1"/>
    </row>
    <row r="53" spans="1:9" ht="12.75" x14ac:dyDescent="0.2">
      <c r="A53" s="1" t="s">
        <v>57</v>
      </c>
      <c r="B53" s="1" t="s">
        <v>13</v>
      </c>
      <c r="C53" s="1">
        <v>190</v>
      </c>
      <c r="D53" s="1">
        <f t="shared" si="1"/>
        <v>161.5</v>
      </c>
      <c r="E53" s="1" t="s">
        <v>137</v>
      </c>
      <c r="F53" s="1" t="s">
        <v>151</v>
      </c>
      <c r="G53" s="1" t="s">
        <v>169</v>
      </c>
      <c r="H53" s="13">
        <f>الجدول1[[#This Row],[سعر الغلاف]]-الجدول1[[#This Row],[سعر الغلاف]]*17.5%</f>
        <v>156.75</v>
      </c>
      <c r="I53" s="1"/>
    </row>
    <row r="54" spans="1:9" ht="12.75" x14ac:dyDescent="0.2">
      <c r="A54" s="1" t="s">
        <v>57</v>
      </c>
      <c r="B54" s="1" t="s">
        <v>14</v>
      </c>
      <c r="C54" s="1">
        <v>175</v>
      </c>
      <c r="D54" s="1">
        <f t="shared" si="1"/>
        <v>148.75</v>
      </c>
      <c r="E54" s="1" t="s">
        <v>137</v>
      </c>
      <c r="F54" s="1" t="s">
        <v>152</v>
      </c>
      <c r="G54" s="1" t="s">
        <v>169</v>
      </c>
      <c r="H54" s="13">
        <f>الجدول1[[#This Row],[سعر الغلاف]]-الجدول1[[#This Row],[سعر الغلاف]]*17.5%</f>
        <v>144.375</v>
      </c>
      <c r="I54" s="1"/>
    </row>
    <row r="55" spans="1:9" ht="12.75" x14ac:dyDescent="0.2">
      <c r="A55" s="1" t="s">
        <v>57</v>
      </c>
      <c r="B55" s="1" t="s">
        <v>117</v>
      </c>
      <c r="C55" s="1">
        <v>140</v>
      </c>
      <c r="D55" s="1">
        <v>0</v>
      </c>
      <c r="E55" s="1" t="s">
        <v>137</v>
      </c>
      <c r="F55" s="1" t="s">
        <v>158</v>
      </c>
      <c r="G55" s="1" t="s">
        <v>169</v>
      </c>
      <c r="H55" s="13">
        <f>الجدول1[[#This Row],[سعر الغلاف]]-الجدول1[[#This Row],[سعر الغلاف]]*17.5%</f>
        <v>115.5</v>
      </c>
      <c r="I55" s="1"/>
    </row>
    <row r="56" spans="1:9" ht="12.75" x14ac:dyDescent="0.2">
      <c r="A56" s="1" t="s">
        <v>57</v>
      </c>
      <c r="B56" s="1" t="s">
        <v>15</v>
      </c>
      <c r="C56" s="1">
        <v>169</v>
      </c>
      <c r="D56" s="1">
        <f>C56-C56*15/100</f>
        <v>143.65</v>
      </c>
      <c r="E56" s="1" t="s">
        <v>138</v>
      </c>
      <c r="F56" s="1" t="s">
        <v>151</v>
      </c>
      <c r="G56" s="1" t="s">
        <v>169</v>
      </c>
      <c r="H56" s="1">
        <f>الجدول1[[#This Row],[سعر الغلاف]]-الجدول1[[#This Row],[سعر الغلاف]]*18%</f>
        <v>138.58000000000001</v>
      </c>
      <c r="I56" s="1"/>
    </row>
    <row r="57" spans="1:9" ht="12.75" x14ac:dyDescent="0.2">
      <c r="A57" s="1" t="s">
        <v>57</v>
      </c>
      <c r="B57" s="1" t="s">
        <v>16</v>
      </c>
      <c r="C57" s="1">
        <v>165</v>
      </c>
      <c r="D57" s="1">
        <f>C57-C57*15/100</f>
        <v>140.25</v>
      </c>
      <c r="E57" s="1" t="s">
        <v>138</v>
      </c>
      <c r="F57" s="1" t="s">
        <v>152</v>
      </c>
      <c r="G57" s="1" t="s">
        <v>169</v>
      </c>
      <c r="H57" s="1">
        <f>الجدول1[[#This Row],[سعر الغلاف]]-الجدول1[[#This Row],[سعر الغلاف]]*18%</f>
        <v>135.30000000000001</v>
      </c>
      <c r="I57" s="1"/>
    </row>
    <row r="58" spans="1:9" ht="12.75" x14ac:dyDescent="0.2">
      <c r="A58" s="1" t="s">
        <v>57</v>
      </c>
      <c r="B58" s="1" t="s">
        <v>116</v>
      </c>
      <c r="C58" s="1">
        <v>139</v>
      </c>
      <c r="D58" s="1">
        <v>0</v>
      </c>
      <c r="E58" s="1" t="s">
        <v>138</v>
      </c>
      <c r="F58" s="1" t="s">
        <v>158</v>
      </c>
      <c r="G58" s="1" t="s">
        <v>169</v>
      </c>
      <c r="H58" s="1">
        <f>الجدول1[[#This Row],[سعر الغلاف]]-الجدول1[[#This Row],[سعر الغلاف]]*18%</f>
        <v>113.98</v>
      </c>
      <c r="I58" s="1"/>
    </row>
    <row r="59" spans="1:9" ht="12.75" x14ac:dyDescent="0.2">
      <c r="A59" s="1" t="s">
        <v>57</v>
      </c>
      <c r="B59" s="1" t="s">
        <v>88</v>
      </c>
      <c r="C59" s="1">
        <v>169</v>
      </c>
      <c r="D59" s="1">
        <f>C59-C59*15/100</f>
        <v>143.65</v>
      </c>
      <c r="E59" s="1" t="s">
        <v>138</v>
      </c>
      <c r="F59" s="1" t="s">
        <v>150</v>
      </c>
      <c r="G59" s="1" t="s">
        <v>169</v>
      </c>
      <c r="H59" s="1">
        <f>الجدول1[[#This Row],[سعر الغلاف]]-الجدول1[[#This Row],[سعر الغلاف]]*18%</f>
        <v>138.58000000000001</v>
      </c>
      <c r="I59" s="1"/>
    </row>
    <row r="60" spans="1:9" ht="12.75" x14ac:dyDescent="0.2">
      <c r="A60" s="1" t="s">
        <v>57</v>
      </c>
      <c r="B60" s="1" t="s">
        <v>17</v>
      </c>
      <c r="C60" s="1">
        <v>185</v>
      </c>
      <c r="D60" s="1">
        <f>C60-C60*15/100</f>
        <v>157.25</v>
      </c>
      <c r="E60" s="1" t="s">
        <v>143</v>
      </c>
      <c r="F60" s="1" t="s">
        <v>150</v>
      </c>
      <c r="G60" s="1" t="s">
        <v>169</v>
      </c>
      <c r="H60" s="1">
        <f>الجدول1[[#This Row],[سعر الغلاف]]-الجدول1[[#This Row],[سعر الغلاف]]*20/100</f>
        <v>148</v>
      </c>
      <c r="I60" s="1"/>
    </row>
    <row r="61" spans="1:9" ht="12.75" x14ac:dyDescent="0.2">
      <c r="A61" s="1" t="s">
        <v>57</v>
      </c>
      <c r="B61" s="1" t="s">
        <v>162</v>
      </c>
      <c r="C61" s="1">
        <v>140</v>
      </c>
      <c r="D61" s="1">
        <f>C61-C61*15/100</f>
        <v>119</v>
      </c>
      <c r="E61" s="1" t="s">
        <v>142</v>
      </c>
      <c r="F61" s="1" t="s">
        <v>150</v>
      </c>
      <c r="G61" s="1" t="s">
        <v>169</v>
      </c>
      <c r="H61" s="1">
        <f>الجدول1[[#This Row],[سعر الغلاف]]-الجدول1[[#This Row],[سعر الغلاف]]*18%</f>
        <v>114.8</v>
      </c>
      <c r="I61" s="1"/>
    </row>
    <row r="62" spans="1:9" ht="12.75" x14ac:dyDescent="0.2">
      <c r="A62" s="1" t="s">
        <v>57</v>
      </c>
      <c r="B62" s="1" t="s">
        <v>18</v>
      </c>
      <c r="C62" s="1">
        <v>189</v>
      </c>
      <c r="D62" s="1">
        <f>C62-C62*15/100</f>
        <v>160.65</v>
      </c>
      <c r="E62" s="1" t="s">
        <v>140</v>
      </c>
      <c r="F62" s="1" t="s">
        <v>150</v>
      </c>
      <c r="G62" s="1" t="s">
        <v>169</v>
      </c>
      <c r="H62" s="1">
        <f>الجدول1[[#This Row],[سعر الغلاف]]-الجدول1[[#This Row],[سعر الغلاف]]*18%</f>
        <v>154.98000000000002</v>
      </c>
      <c r="I62" s="1"/>
    </row>
    <row r="63" spans="1:9" ht="12.75" x14ac:dyDescent="0.2">
      <c r="A63" s="1" t="s">
        <v>57</v>
      </c>
      <c r="B63" s="1" t="s">
        <v>111</v>
      </c>
      <c r="C63" s="1">
        <v>205</v>
      </c>
      <c r="D63" s="1">
        <v>0</v>
      </c>
      <c r="E63" s="1" t="s">
        <v>140</v>
      </c>
      <c r="F63" s="1" t="s">
        <v>159</v>
      </c>
      <c r="G63" s="1" t="s">
        <v>169</v>
      </c>
      <c r="H63" s="1">
        <f>الجدول1[[#This Row],[سعر الغلاف]]-الجدول1[[#This Row],[سعر الغلاف]]*18%</f>
        <v>168.1</v>
      </c>
      <c r="I63" s="1"/>
    </row>
    <row r="64" spans="1:9" ht="12.75" x14ac:dyDescent="0.2">
      <c r="A64" s="1" t="s">
        <v>57</v>
      </c>
      <c r="B64" s="1" t="s">
        <v>83</v>
      </c>
      <c r="C64" s="1">
        <v>0</v>
      </c>
      <c r="D64" s="1">
        <f>C64-C64*15/100</f>
        <v>0</v>
      </c>
      <c r="E64" s="1" t="s">
        <v>140</v>
      </c>
      <c r="F64" s="1" t="s">
        <v>160</v>
      </c>
      <c r="G64" s="1" t="s">
        <v>169</v>
      </c>
      <c r="H64" s="1">
        <f>الجدول1[[#This Row],[سعر الغلاف]]-الجدول1[[#This Row],[سعر الغلاف]]*18%</f>
        <v>0</v>
      </c>
      <c r="I64" s="1"/>
    </row>
    <row r="65" spans="1:9" ht="12.75" x14ac:dyDescent="0.2">
      <c r="A65" s="1" t="s">
        <v>58</v>
      </c>
      <c r="B65" s="1" t="s">
        <v>19</v>
      </c>
      <c r="C65" s="1">
        <v>215</v>
      </c>
      <c r="D65" s="1">
        <f>C65-C65*15/100</f>
        <v>182.75</v>
      </c>
      <c r="E65" s="1" t="s">
        <v>137</v>
      </c>
      <c r="F65" s="1" t="s">
        <v>151</v>
      </c>
      <c r="G65" s="1" t="s">
        <v>170</v>
      </c>
      <c r="H65" s="13">
        <f>الجدول1[[#This Row],[سعر الغلاف]]-الجدول1[[#This Row],[سعر الغلاف]]*17.5%</f>
        <v>177.375</v>
      </c>
      <c r="I65" s="1"/>
    </row>
    <row r="66" spans="1:9" ht="12.75" x14ac:dyDescent="0.2">
      <c r="A66" s="1" t="s">
        <v>58</v>
      </c>
      <c r="B66" s="1" t="s">
        <v>20</v>
      </c>
      <c r="C66" s="1">
        <v>185</v>
      </c>
      <c r="D66" s="1">
        <f>C66-C66*15/100</f>
        <v>157.25</v>
      </c>
      <c r="E66" s="1" t="s">
        <v>137</v>
      </c>
      <c r="F66" s="1" t="s">
        <v>154</v>
      </c>
      <c r="G66" s="1" t="s">
        <v>170</v>
      </c>
      <c r="H66" s="13">
        <f>الجدول1[[#This Row],[سعر الغلاف]]-الجدول1[[#This Row],[سعر الغلاف]]*17.5%</f>
        <v>152.625</v>
      </c>
      <c r="I66" s="1"/>
    </row>
    <row r="67" spans="1:9" ht="12.75" x14ac:dyDescent="0.2">
      <c r="A67" s="1" t="s">
        <v>58</v>
      </c>
      <c r="B67" s="1" t="s">
        <v>21</v>
      </c>
      <c r="C67" s="1">
        <v>190</v>
      </c>
      <c r="D67" s="1">
        <f>C67-C67*15/100</f>
        <v>161.5</v>
      </c>
      <c r="E67" s="1" t="s">
        <v>137</v>
      </c>
      <c r="F67" s="1" t="s">
        <v>152</v>
      </c>
      <c r="G67" s="1" t="s">
        <v>170</v>
      </c>
      <c r="H67" s="13">
        <f>الجدول1[[#This Row],[سعر الغلاف]]-الجدول1[[#This Row],[سعر الغلاف]]*17.5%</f>
        <v>156.75</v>
      </c>
      <c r="I67" s="1"/>
    </row>
    <row r="68" spans="1:9" ht="12.75" x14ac:dyDescent="0.2">
      <c r="A68" s="1" t="s">
        <v>58</v>
      </c>
      <c r="B68" s="1" t="s">
        <v>22</v>
      </c>
      <c r="C68" s="1">
        <v>170</v>
      </c>
      <c r="D68" s="1">
        <f>C68-C68*15/100</f>
        <v>144.5</v>
      </c>
      <c r="E68" s="1" t="s">
        <v>137</v>
      </c>
      <c r="F68" s="1" t="s">
        <v>153</v>
      </c>
      <c r="G68" s="1" t="s">
        <v>170</v>
      </c>
      <c r="H68" s="13">
        <f>الجدول1[[#This Row],[سعر الغلاف]]-الجدول1[[#This Row],[سعر الغلاف]]*17.5%</f>
        <v>140.25</v>
      </c>
      <c r="I68" s="1"/>
    </row>
    <row r="69" spans="1:9" ht="12.75" x14ac:dyDescent="0.2">
      <c r="A69" s="1" t="s">
        <v>58</v>
      </c>
      <c r="B69" s="2" t="s">
        <v>117</v>
      </c>
      <c r="C69" s="1">
        <v>145</v>
      </c>
      <c r="D69" s="1">
        <v>0</v>
      </c>
      <c r="E69" s="1" t="s">
        <v>137</v>
      </c>
      <c r="F69" s="1" t="s">
        <v>158</v>
      </c>
      <c r="G69" s="1" t="s">
        <v>170</v>
      </c>
      <c r="H69" s="13">
        <f>الجدول1[[#This Row],[سعر الغلاف]]-الجدول1[[#This Row],[سعر الغلاف]]*17.5%</f>
        <v>119.625</v>
      </c>
      <c r="I69" s="1"/>
    </row>
    <row r="70" spans="1:9" ht="12.75" x14ac:dyDescent="0.2">
      <c r="A70" s="1" t="s">
        <v>58</v>
      </c>
      <c r="B70" s="1" t="s">
        <v>23</v>
      </c>
      <c r="C70" s="1">
        <v>195</v>
      </c>
      <c r="D70" s="1">
        <f>C70-C70*15/100</f>
        <v>165.75</v>
      </c>
      <c r="E70" s="1" t="s">
        <v>138</v>
      </c>
      <c r="F70" s="1" t="s">
        <v>151</v>
      </c>
      <c r="G70" s="1" t="s">
        <v>170</v>
      </c>
      <c r="H70" s="1">
        <f>الجدول1[[#This Row],[سعر الغلاف]]-الجدول1[[#This Row],[سعر الغلاف]]*18%</f>
        <v>159.9</v>
      </c>
      <c r="I70" s="1"/>
    </row>
    <row r="71" spans="1:9" ht="12.75" x14ac:dyDescent="0.2">
      <c r="A71" s="1" t="s">
        <v>58</v>
      </c>
      <c r="B71" s="1" t="s">
        <v>24</v>
      </c>
      <c r="C71" s="1">
        <v>165</v>
      </c>
      <c r="D71" s="1">
        <f>C71-C71*15/100</f>
        <v>140.25</v>
      </c>
      <c r="E71" s="1" t="s">
        <v>138</v>
      </c>
      <c r="F71" s="1" t="s">
        <v>152</v>
      </c>
      <c r="G71" s="1" t="s">
        <v>170</v>
      </c>
      <c r="H71" s="1">
        <f>الجدول1[[#This Row],[سعر الغلاف]]-الجدول1[[#This Row],[سعر الغلاف]]*18%</f>
        <v>135.30000000000001</v>
      </c>
      <c r="I71" s="1"/>
    </row>
    <row r="72" spans="1:9" ht="12.75" x14ac:dyDescent="0.2">
      <c r="A72" s="1" t="s">
        <v>58</v>
      </c>
      <c r="B72" s="1" t="s">
        <v>25</v>
      </c>
      <c r="C72" s="1">
        <v>159</v>
      </c>
      <c r="D72" s="1">
        <f>C72-C72*15/100</f>
        <v>135.15</v>
      </c>
      <c r="E72" s="1" t="s">
        <v>138</v>
      </c>
      <c r="F72" s="1" t="s">
        <v>154</v>
      </c>
      <c r="G72" s="1" t="s">
        <v>170</v>
      </c>
      <c r="H72" s="1">
        <f>الجدول1[[#This Row],[سعر الغلاف]]-الجدول1[[#This Row],[سعر الغلاف]]*18%</f>
        <v>130.38</v>
      </c>
      <c r="I72" s="1"/>
    </row>
    <row r="73" spans="1:9" ht="12.75" x14ac:dyDescent="0.2">
      <c r="A73" s="1" t="s">
        <v>58</v>
      </c>
      <c r="B73" s="2" t="s">
        <v>96</v>
      </c>
      <c r="C73" s="1">
        <v>175</v>
      </c>
      <c r="D73" s="1">
        <f>C73-C73*15/100</f>
        <v>148.75</v>
      </c>
      <c r="E73" s="1" t="s">
        <v>138</v>
      </c>
      <c r="F73" s="1" t="s">
        <v>153</v>
      </c>
      <c r="G73" s="1" t="s">
        <v>170</v>
      </c>
      <c r="H73" s="1">
        <f>الجدول1[[#This Row],[سعر الغلاف]]-الجدول1[[#This Row],[سعر الغلاف]]*18%</f>
        <v>143.5</v>
      </c>
      <c r="I73" s="1"/>
    </row>
    <row r="74" spans="1:9" ht="12.75" x14ac:dyDescent="0.2">
      <c r="A74" s="1" t="s">
        <v>58</v>
      </c>
      <c r="B74" s="1" t="s">
        <v>87</v>
      </c>
      <c r="C74" s="1">
        <v>169</v>
      </c>
      <c r="D74" s="1">
        <f>C74-C74*15/100</f>
        <v>143.65</v>
      </c>
      <c r="E74" s="1" t="s">
        <v>138</v>
      </c>
      <c r="F74" s="1" t="s">
        <v>150</v>
      </c>
      <c r="G74" s="1" t="s">
        <v>170</v>
      </c>
      <c r="H74" s="1">
        <f>الجدول1[[#This Row],[سعر الغلاف]]-الجدول1[[#This Row],[سعر الغلاف]]*18%</f>
        <v>138.58000000000001</v>
      </c>
      <c r="I74" s="1"/>
    </row>
    <row r="75" spans="1:9" ht="12.75" x14ac:dyDescent="0.2">
      <c r="A75" s="1" t="s">
        <v>59</v>
      </c>
      <c r="B75" s="1" t="s">
        <v>39</v>
      </c>
      <c r="C75" s="1">
        <v>179</v>
      </c>
      <c r="D75" s="1">
        <f>C75-C75*15/100</f>
        <v>152.15</v>
      </c>
      <c r="E75" s="1" t="s">
        <v>138</v>
      </c>
      <c r="F75" s="1" t="s">
        <v>150</v>
      </c>
      <c r="G75" s="1" t="s">
        <v>171</v>
      </c>
      <c r="H75" s="1">
        <f>الجدول1[[#This Row],[سعر الغلاف]]-الجدول1[[#This Row],[سعر الغلاف]]*18%</f>
        <v>146.78</v>
      </c>
      <c r="I75" s="1"/>
    </row>
    <row r="76" spans="1:9" ht="12.75" x14ac:dyDescent="0.2">
      <c r="A76" s="1" t="s">
        <v>58</v>
      </c>
      <c r="B76" s="1" t="s">
        <v>73</v>
      </c>
      <c r="C76" s="1">
        <v>150</v>
      </c>
      <c r="D76" s="1">
        <f>C76-C76*15/100</f>
        <v>127.5</v>
      </c>
      <c r="E76" s="1" t="s">
        <v>142</v>
      </c>
      <c r="F76" s="1" t="s">
        <v>150</v>
      </c>
      <c r="G76" s="1" t="s">
        <v>170</v>
      </c>
      <c r="H76" s="1">
        <f>الجدول1[[#This Row],[سعر الغلاف]]-الجدول1[[#This Row],[سعر الغلاف]]*18%</f>
        <v>123</v>
      </c>
      <c r="I76" s="1"/>
    </row>
    <row r="77" spans="1:9" ht="12.75" x14ac:dyDescent="0.2">
      <c r="A77" s="1" t="s">
        <v>58</v>
      </c>
      <c r="B77" s="1" t="s">
        <v>26</v>
      </c>
      <c r="C77" s="1">
        <v>189</v>
      </c>
      <c r="D77" s="1">
        <f>C77-C77*15/100</f>
        <v>160.65</v>
      </c>
      <c r="E77" s="1" t="s">
        <v>140</v>
      </c>
      <c r="F77" s="1" t="s">
        <v>150</v>
      </c>
      <c r="G77" s="1" t="s">
        <v>170</v>
      </c>
      <c r="H77" s="1">
        <f>الجدول1[[#This Row],[سعر الغلاف]]-الجدول1[[#This Row],[سعر الغلاف]]*18%</f>
        <v>154.98000000000002</v>
      </c>
      <c r="I77" s="1"/>
    </row>
    <row r="78" spans="1:9" ht="12.75" x14ac:dyDescent="0.2">
      <c r="A78" s="1" t="s">
        <v>58</v>
      </c>
      <c r="B78" s="1" t="s">
        <v>111</v>
      </c>
      <c r="C78" s="1">
        <v>205</v>
      </c>
      <c r="D78" s="1">
        <v>0</v>
      </c>
      <c r="E78" s="1" t="s">
        <v>140</v>
      </c>
      <c r="F78" s="1" t="s">
        <v>159</v>
      </c>
      <c r="G78" s="1" t="s">
        <v>170</v>
      </c>
      <c r="H78" s="1">
        <f>الجدول1[[#This Row],[سعر الغلاف]]-الجدول1[[#This Row],[سعر الغلاف]]*18%</f>
        <v>168.1</v>
      </c>
      <c r="I78" s="1"/>
    </row>
    <row r="79" spans="1:9" ht="12.75" x14ac:dyDescent="0.2">
      <c r="A79" s="1" t="s">
        <v>58</v>
      </c>
      <c r="B79" s="1" t="s">
        <v>106</v>
      </c>
      <c r="C79" s="1">
        <v>315</v>
      </c>
      <c r="D79" s="1">
        <v>0</v>
      </c>
      <c r="E79" s="1" t="s">
        <v>140</v>
      </c>
      <c r="F79" s="1" t="s">
        <v>160</v>
      </c>
      <c r="G79" s="1" t="s">
        <v>170</v>
      </c>
      <c r="H79" s="1">
        <f>الجدول1[[#This Row],[سعر الغلاف]]-الجدول1[[#This Row],[سعر الغلاف]]*18%</f>
        <v>258.3</v>
      </c>
      <c r="I79" s="1"/>
    </row>
    <row r="80" spans="1:9" ht="12.75" x14ac:dyDescent="0.2">
      <c r="A80" s="1" t="s">
        <v>58</v>
      </c>
      <c r="B80" s="1" t="s">
        <v>243</v>
      </c>
      <c r="C80" s="1">
        <v>275</v>
      </c>
      <c r="D80" s="1">
        <v>0</v>
      </c>
      <c r="E80" s="1" t="s">
        <v>140</v>
      </c>
      <c r="F80" s="1" t="s">
        <v>161</v>
      </c>
      <c r="G80" s="1" t="s">
        <v>170</v>
      </c>
      <c r="H80" s="1">
        <f>الجدول1[[#This Row],[سعر الغلاف]]-الجدول1[[#This Row],[سعر الغلاف]]*18%</f>
        <v>225.5</v>
      </c>
      <c r="I80" s="1"/>
    </row>
    <row r="81" spans="1:9" ht="12.75" x14ac:dyDescent="0.2">
      <c r="A81" s="1" t="s">
        <v>58</v>
      </c>
      <c r="B81" s="1" t="s">
        <v>27</v>
      </c>
      <c r="C81" s="1">
        <v>169</v>
      </c>
      <c r="D81" s="1">
        <f>C81-C81*15/100</f>
        <v>143.65</v>
      </c>
      <c r="E81" s="1" t="s">
        <v>139</v>
      </c>
      <c r="F81" s="1" t="s">
        <v>154</v>
      </c>
      <c r="G81" s="1" t="s">
        <v>170</v>
      </c>
      <c r="H81" s="1">
        <f>الجدول1[[#This Row],[سعر الغلاف]]-الجدول1[[#This Row],[سعر الغلاف]]*18%</f>
        <v>138.58000000000001</v>
      </c>
      <c r="I81" s="1"/>
    </row>
    <row r="82" spans="1:9" ht="12.75" x14ac:dyDescent="0.2">
      <c r="A82" s="1" t="s">
        <v>58</v>
      </c>
      <c r="B82" s="1" t="s">
        <v>28</v>
      </c>
      <c r="C82" s="1">
        <v>205</v>
      </c>
      <c r="D82" s="1">
        <f>C82-C82*15/100</f>
        <v>174.25</v>
      </c>
      <c r="E82" s="1" t="s">
        <v>139</v>
      </c>
      <c r="F82" s="1" t="s">
        <v>151</v>
      </c>
      <c r="G82" s="1" t="s">
        <v>170</v>
      </c>
      <c r="H82" s="1">
        <f>الجدول1[[#This Row],[سعر الغلاف]]-الجدول1[[#This Row],[سعر الغلاف]]*18%</f>
        <v>168.1</v>
      </c>
      <c r="I82" s="1"/>
    </row>
    <row r="83" spans="1:9" ht="12.75" x14ac:dyDescent="0.2">
      <c r="A83" s="1" t="s">
        <v>59</v>
      </c>
      <c r="B83" s="1" t="s">
        <v>29</v>
      </c>
      <c r="C83" s="1">
        <v>215</v>
      </c>
      <c r="D83" s="1">
        <f>C83-C83*15/100</f>
        <v>182.75</v>
      </c>
      <c r="E83" s="1" t="s">
        <v>137</v>
      </c>
      <c r="F83" s="1" t="s">
        <v>151</v>
      </c>
      <c r="G83" s="1" t="s">
        <v>171</v>
      </c>
      <c r="H83" s="13">
        <f>الجدول1[[#This Row],[سعر الغلاف]]-الجدول1[[#This Row],[سعر الغلاف]]*17.5%</f>
        <v>177.375</v>
      </c>
      <c r="I83" s="1"/>
    </row>
    <row r="84" spans="1:9" ht="12.75" x14ac:dyDescent="0.2">
      <c r="A84" s="1" t="s">
        <v>59</v>
      </c>
      <c r="B84" s="1" t="s">
        <v>20</v>
      </c>
      <c r="C84" s="1">
        <v>185</v>
      </c>
      <c r="D84" s="1">
        <f>C84-C84*15/100</f>
        <v>157.25</v>
      </c>
      <c r="E84" s="1" t="s">
        <v>137</v>
      </c>
      <c r="F84" s="1" t="s">
        <v>154</v>
      </c>
      <c r="G84" s="1" t="s">
        <v>171</v>
      </c>
      <c r="H84" s="13">
        <f>الجدول1[[#This Row],[سعر الغلاف]]-الجدول1[[#This Row],[سعر الغلاف]]*17.5%</f>
        <v>152.625</v>
      </c>
      <c r="I84" s="1"/>
    </row>
    <row r="85" spans="1:9" ht="12.75" x14ac:dyDescent="0.2">
      <c r="A85" s="1" t="s">
        <v>59</v>
      </c>
      <c r="B85" s="1" t="s">
        <v>30</v>
      </c>
      <c r="C85" s="1">
        <v>190</v>
      </c>
      <c r="D85" s="1">
        <f>C85-C85*15/100</f>
        <v>161.5</v>
      </c>
      <c r="E85" s="1" t="s">
        <v>137</v>
      </c>
      <c r="F85" s="1" t="s">
        <v>152</v>
      </c>
      <c r="G85" s="1" t="s">
        <v>171</v>
      </c>
      <c r="H85" s="13">
        <f>الجدول1[[#This Row],[سعر الغلاف]]-الجدول1[[#This Row],[سعر الغلاف]]*17.5%</f>
        <v>156.75</v>
      </c>
      <c r="I85" s="1"/>
    </row>
    <row r="86" spans="1:9" ht="12.75" x14ac:dyDescent="0.2">
      <c r="A86" s="1" t="s">
        <v>59</v>
      </c>
      <c r="B86" s="2" t="s">
        <v>22</v>
      </c>
      <c r="C86" s="1">
        <v>170</v>
      </c>
      <c r="D86" s="1">
        <f>C86-C86*15/100</f>
        <v>144.5</v>
      </c>
      <c r="E86" s="1" t="s">
        <v>137</v>
      </c>
      <c r="F86" s="1" t="s">
        <v>153</v>
      </c>
      <c r="G86" s="1" t="s">
        <v>171</v>
      </c>
      <c r="H86" s="13">
        <f>الجدول1[[#This Row],[سعر الغلاف]]-الجدول1[[#This Row],[سعر الغلاف]]*17.5%</f>
        <v>140.25</v>
      </c>
      <c r="I86" s="1"/>
    </row>
    <row r="87" spans="1:9" ht="12.75" x14ac:dyDescent="0.2">
      <c r="A87" s="1" t="s">
        <v>59</v>
      </c>
      <c r="B87" s="2" t="s">
        <v>118</v>
      </c>
      <c r="C87" s="1">
        <v>145</v>
      </c>
      <c r="D87" s="1">
        <v>0</v>
      </c>
      <c r="E87" s="1" t="s">
        <v>137</v>
      </c>
      <c r="F87" s="1" t="s">
        <v>158</v>
      </c>
      <c r="G87" s="1" t="s">
        <v>171</v>
      </c>
      <c r="H87" s="13">
        <f>الجدول1[[#This Row],[سعر الغلاف]]-الجدول1[[#This Row],[سعر الغلاف]]*17.5%</f>
        <v>119.625</v>
      </c>
      <c r="I87" s="1"/>
    </row>
    <row r="88" spans="1:9" ht="12.75" x14ac:dyDescent="0.2">
      <c r="A88" s="1" t="s">
        <v>59</v>
      </c>
      <c r="B88" s="1" t="s">
        <v>23</v>
      </c>
      <c r="C88" s="1">
        <v>195</v>
      </c>
      <c r="D88" s="1">
        <f>C88-C88*15/100</f>
        <v>165.75</v>
      </c>
      <c r="E88" s="1" t="s">
        <v>138</v>
      </c>
      <c r="F88" s="1" t="s">
        <v>151</v>
      </c>
      <c r="G88" s="1" t="s">
        <v>171</v>
      </c>
      <c r="H88" s="1">
        <f>الجدول1[[#This Row],[سعر الغلاف]]-الجدول1[[#This Row],[سعر الغلاف]]*18%</f>
        <v>159.9</v>
      </c>
      <c r="I88" s="1"/>
    </row>
    <row r="89" spans="1:9" ht="12.75" x14ac:dyDescent="0.2">
      <c r="A89" s="1" t="s">
        <v>59</v>
      </c>
      <c r="B89" s="1" t="s">
        <v>25</v>
      </c>
      <c r="C89" s="1">
        <v>159</v>
      </c>
      <c r="D89" s="1">
        <f>C89-C89*15/100</f>
        <v>135.15</v>
      </c>
      <c r="E89" s="1" t="s">
        <v>138</v>
      </c>
      <c r="F89" s="1" t="s">
        <v>154</v>
      </c>
      <c r="G89" s="1" t="s">
        <v>171</v>
      </c>
      <c r="H89" s="1">
        <f>الجدول1[[#This Row],[سعر الغلاف]]-الجدول1[[#This Row],[سعر الغلاف]]*18%</f>
        <v>130.38</v>
      </c>
      <c r="I89" s="1"/>
    </row>
    <row r="90" spans="1:9" ht="12.75" x14ac:dyDescent="0.2">
      <c r="A90" s="1" t="s">
        <v>59</v>
      </c>
      <c r="B90" s="1" t="s">
        <v>31</v>
      </c>
      <c r="C90" s="1">
        <v>169</v>
      </c>
      <c r="D90" s="1">
        <f>C90-C90*15/100</f>
        <v>143.65</v>
      </c>
      <c r="E90" s="1" t="s">
        <v>138</v>
      </c>
      <c r="F90" s="1" t="s">
        <v>152</v>
      </c>
      <c r="G90" s="1" t="s">
        <v>171</v>
      </c>
      <c r="H90" s="1">
        <f>الجدول1[[#This Row],[سعر الغلاف]]-الجدول1[[#This Row],[سعر الغلاف]]*18%</f>
        <v>138.58000000000001</v>
      </c>
      <c r="I90" s="1"/>
    </row>
    <row r="91" spans="1:9" ht="12.75" x14ac:dyDescent="0.2">
      <c r="A91" s="1" t="s">
        <v>59</v>
      </c>
      <c r="B91" s="2" t="s">
        <v>96</v>
      </c>
      <c r="C91" s="1">
        <v>175</v>
      </c>
      <c r="D91" s="1">
        <f>C91-C91*15/100</f>
        <v>148.75</v>
      </c>
      <c r="E91" s="1" t="s">
        <v>138</v>
      </c>
      <c r="F91" s="1" t="s">
        <v>153</v>
      </c>
      <c r="G91" s="1" t="s">
        <v>171</v>
      </c>
      <c r="H91" s="1">
        <f>الجدول1[[#This Row],[سعر الغلاف]]-الجدول1[[#This Row],[سعر الغلاف]]*18%</f>
        <v>143.5</v>
      </c>
      <c r="I91" s="1"/>
    </row>
    <row r="92" spans="1:9" ht="12.75" x14ac:dyDescent="0.2">
      <c r="A92" s="1" t="s">
        <v>61</v>
      </c>
      <c r="B92" s="1" t="s">
        <v>74</v>
      </c>
      <c r="C92" s="1">
        <v>199</v>
      </c>
      <c r="D92" s="1">
        <v>0</v>
      </c>
      <c r="E92" s="1" t="s">
        <v>138</v>
      </c>
      <c r="F92" s="1" t="s">
        <v>150</v>
      </c>
      <c r="G92" s="1" t="s">
        <v>173</v>
      </c>
      <c r="H92" s="1">
        <f>الجدول1[[#This Row],[سعر الغلاف]]-الجدول1[[#This Row],[سعر الغلاف]]*18%</f>
        <v>163.18</v>
      </c>
      <c r="I92" s="1"/>
    </row>
    <row r="93" spans="1:9" ht="12.75" x14ac:dyDescent="0.2">
      <c r="A93" s="1" t="s">
        <v>59</v>
      </c>
      <c r="B93" s="1" t="s">
        <v>32</v>
      </c>
      <c r="C93" s="1">
        <v>187</v>
      </c>
      <c r="D93" s="1">
        <f>C93-C93*15/100</f>
        <v>158.94999999999999</v>
      </c>
      <c r="E93" s="1" t="s">
        <v>143</v>
      </c>
      <c r="F93" s="1" t="s">
        <v>150</v>
      </c>
      <c r="G93" s="1" t="s">
        <v>171</v>
      </c>
      <c r="H93" s="1">
        <f>الجدول1[[#This Row],[سعر الغلاف]]-الجدول1[[#This Row],[سعر الغلاف]]*20/100</f>
        <v>149.6</v>
      </c>
      <c r="I93" s="1"/>
    </row>
    <row r="94" spans="1:9" ht="12.75" x14ac:dyDescent="0.2">
      <c r="A94" s="1" t="s">
        <v>59</v>
      </c>
      <c r="B94" s="1" t="s">
        <v>33</v>
      </c>
      <c r="C94" s="1">
        <v>155</v>
      </c>
      <c r="D94" s="1">
        <f>C94-C94*15/100</f>
        <v>131.75</v>
      </c>
      <c r="E94" s="1" t="s">
        <v>142</v>
      </c>
      <c r="F94" s="1" t="s">
        <v>150</v>
      </c>
      <c r="G94" s="1" t="s">
        <v>171</v>
      </c>
      <c r="H94" s="1">
        <f>الجدول1[[#This Row],[سعر الغلاف]]-الجدول1[[#This Row],[سعر الغلاف]]*18%</f>
        <v>127.1</v>
      </c>
      <c r="I94" s="1"/>
    </row>
    <row r="95" spans="1:9" ht="12.75" x14ac:dyDescent="0.2">
      <c r="A95" s="1" t="s">
        <v>59</v>
      </c>
      <c r="B95" s="1" t="s">
        <v>123</v>
      </c>
      <c r="C95" s="1">
        <v>189</v>
      </c>
      <c r="D95" s="1">
        <v>0</v>
      </c>
      <c r="E95" s="1" t="s">
        <v>140</v>
      </c>
      <c r="F95" s="1" t="s">
        <v>150</v>
      </c>
      <c r="G95" s="1" t="s">
        <v>171</v>
      </c>
      <c r="H95" s="1">
        <f>الجدول1[[#This Row],[سعر الغلاف]]-الجدول1[[#This Row],[سعر الغلاف]]*18%</f>
        <v>154.98000000000002</v>
      </c>
      <c r="I95" s="1"/>
    </row>
    <row r="96" spans="1:9" ht="12.75" x14ac:dyDescent="0.2">
      <c r="A96" s="1" t="s">
        <v>59</v>
      </c>
      <c r="B96" s="1" t="s">
        <v>111</v>
      </c>
      <c r="C96" s="1">
        <v>205</v>
      </c>
      <c r="D96" s="1">
        <v>0</v>
      </c>
      <c r="E96" s="1" t="s">
        <v>140</v>
      </c>
      <c r="F96" s="1" t="s">
        <v>159</v>
      </c>
      <c r="G96" s="1" t="s">
        <v>171</v>
      </c>
      <c r="H96" s="1">
        <f>الجدول1[[#This Row],[سعر الغلاف]]-الجدول1[[#This Row],[سعر الغلاف]]*18%</f>
        <v>168.1</v>
      </c>
      <c r="I96" s="1"/>
    </row>
    <row r="97" spans="1:9" ht="12.75" x14ac:dyDescent="0.2">
      <c r="A97" s="1" t="s">
        <v>59</v>
      </c>
      <c r="B97" s="1" t="s">
        <v>105</v>
      </c>
      <c r="C97" s="1">
        <v>295</v>
      </c>
      <c r="D97" s="1">
        <v>0</v>
      </c>
      <c r="E97" s="1" t="s">
        <v>140</v>
      </c>
      <c r="F97" s="1" t="s">
        <v>160</v>
      </c>
      <c r="G97" s="1" t="s">
        <v>171</v>
      </c>
      <c r="H97" s="1">
        <f>الجدول1[[#This Row],[سعر الغلاف]]-الجدول1[[#This Row],[سعر الغلاف]]*18%</f>
        <v>241.9</v>
      </c>
      <c r="I97" s="1"/>
    </row>
    <row r="98" spans="1:9" ht="12.75" x14ac:dyDescent="0.2">
      <c r="A98" s="1" t="s">
        <v>59</v>
      </c>
      <c r="B98" s="1" t="s">
        <v>243</v>
      </c>
      <c r="C98" s="1">
        <v>275</v>
      </c>
      <c r="D98" s="1">
        <v>235</v>
      </c>
      <c r="E98" s="1" t="s">
        <v>140</v>
      </c>
      <c r="F98" s="1" t="s">
        <v>161</v>
      </c>
      <c r="G98" s="1" t="s">
        <v>171</v>
      </c>
      <c r="H98" s="1">
        <f>الجدول1[[#This Row],[سعر الغلاف]]-الجدول1[[#This Row],[سعر الغلاف]]*18%</f>
        <v>225.5</v>
      </c>
      <c r="I98" s="1"/>
    </row>
    <row r="99" spans="1:9" ht="12.75" x14ac:dyDescent="0.2">
      <c r="A99" s="1" t="s">
        <v>60</v>
      </c>
      <c r="B99" s="1" t="s">
        <v>34</v>
      </c>
      <c r="C99" s="1">
        <v>220</v>
      </c>
      <c r="D99" s="1">
        <f>C99-C99*15/100</f>
        <v>187</v>
      </c>
      <c r="E99" s="1" t="s">
        <v>137</v>
      </c>
      <c r="F99" s="1" t="s">
        <v>151</v>
      </c>
      <c r="G99" s="1" t="s">
        <v>172</v>
      </c>
      <c r="H99" s="13">
        <f>الجدول1[[#This Row],[سعر الغلاف]]-الجدول1[[#This Row],[سعر الغلاف]]*17.5%</f>
        <v>181.5</v>
      </c>
      <c r="I99" s="1"/>
    </row>
    <row r="100" spans="1:9" ht="12.75" x14ac:dyDescent="0.2">
      <c r="A100" s="1" t="s">
        <v>60</v>
      </c>
      <c r="B100" s="1" t="s">
        <v>35</v>
      </c>
      <c r="C100" s="1">
        <v>190</v>
      </c>
      <c r="D100" s="1">
        <f>C100-C100*15/100</f>
        <v>161.5</v>
      </c>
      <c r="E100" s="1" t="s">
        <v>137</v>
      </c>
      <c r="F100" s="1" t="s">
        <v>152</v>
      </c>
      <c r="G100" s="1" t="s">
        <v>172</v>
      </c>
      <c r="H100" s="13">
        <f>الجدول1[[#This Row],[سعر الغلاف]]-الجدول1[[#This Row],[سعر الغلاف]]*17.5%</f>
        <v>156.75</v>
      </c>
      <c r="I100" s="1"/>
    </row>
    <row r="101" spans="1:9" ht="12.75" x14ac:dyDescent="0.2">
      <c r="A101" s="1" t="s">
        <v>60</v>
      </c>
      <c r="B101" s="1" t="s">
        <v>36</v>
      </c>
      <c r="C101" s="1">
        <v>185</v>
      </c>
      <c r="D101" s="1">
        <f>C101-C101*15/100</f>
        <v>157.25</v>
      </c>
      <c r="E101" s="1" t="s">
        <v>137</v>
      </c>
      <c r="F101" s="1" t="s">
        <v>154</v>
      </c>
      <c r="G101" s="1" t="s">
        <v>172</v>
      </c>
      <c r="H101" s="13">
        <f>الجدول1[[#This Row],[سعر الغلاف]]-الجدول1[[#This Row],[سعر الغلاف]]*17.5%</f>
        <v>152.625</v>
      </c>
      <c r="I101" s="1"/>
    </row>
    <row r="102" spans="1:9" ht="12.75" x14ac:dyDescent="0.2">
      <c r="A102" s="1" t="s">
        <v>60</v>
      </c>
      <c r="B102" s="2" t="s">
        <v>22</v>
      </c>
      <c r="C102" s="1">
        <v>170</v>
      </c>
      <c r="D102" s="1">
        <f>C102-C102*15/100</f>
        <v>144.5</v>
      </c>
      <c r="E102" s="1" t="s">
        <v>137</v>
      </c>
      <c r="F102" s="1" t="s">
        <v>153</v>
      </c>
      <c r="G102" s="1" t="s">
        <v>172</v>
      </c>
      <c r="H102" s="13">
        <f>الجدول1[[#This Row],[سعر الغلاف]]-الجدول1[[#This Row],[سعر الغلاف]]*17.5%</f>
        <v>140.25</v>
      </c>
      <c r="I102" s="1"/>
    </row>
    <row r="103" spans="1:9" ht="12.75" x14ac:dyDescent="0.2">
      <c r="A103" s="1" t="s">
        <v>60</v>
      </c>
      <c r="B103" s="2" t="s">
        <v>119</v>
      </c>
      <c r="C103" s="1">
        <v>145</v>
      </c>
      <c r="D103" s="1">
        <v>0</v>
      </c>
      <c r="E103" s="1" t="s">
        <v>137</v>
      </c>
      <c r="F103" s="1" t="s">
        <v>158</v>
      </c>
      <c r="G103" s="1" t="s">
        <v>172</v>
      </c>
      <c r="H103" s="13">
        <f>الجدول1[[#This Row],[سعر الغلاف]]-الجدول1[[#This Row],[سعر الغلاف]]*17.5%</f>
        <v>119.625</v>
      </c>
      <c r="I103" s="1"/>
    </row>
    <row r="104" spans="1:9" ht="12.75" x14ac:dyDescent="0.2">
      <c r="A104" s="1" t="s">
        <v>60</v>
      </c>
      <c r="B104" s="1" t="s">
        <v>37</v>
      </c>
      <c r="C104" s="1">
        <v>199</v>
      </c>
      <c r="D104" s="1">
        <f>C104-C104*15/100</f>
        <v>169.15</v>
      </c>
      <c r="E104" s="1" t="s">
        <v>138</v>
      </c>
      <c r="F104" s="1" t="s">
        <v>151</v>
      </c>
      <c r="G104" s="1" t="s">
        <v>172</v>
      </c>
      <c r="H104" s="1">
        <f>الجدول1[[#This Row],[سعر الغلاف]]-الجدول1[[#This Row],[سعر الغلاف]]*18%</f>
        <v>163.18</v>
      </c>
      <c r="I104" s="1"/>
    </row>
    <row r="105" spans="1:9" ht="12.75" x14ac:dyDescent="0.2">
      <c r="A105" s="1" t="s">
        <v>60</v>
      </c>
      <c r="B105" s="1" t="s">
        <v>31</v>
      </c>
      <c r="C105" s="1">
        <v>169</v>
      </c>
      <c r="D105" s="1">
        <f>C105-C105*15/100</f>
        <v>143.65</v>
      </c>
      <c r="E105" s="1" t="s">
        <v>138</v>
      </c>
      <c r="F105" s="1" t="s">
        <v>152</v>
      </c>
      <c r="G105" s="1" t="s">
        <v>172</v>
      </c>
      <c r="H105" s="1">
        <f>الجدول1[[#This Row],[سعر الغلاف]]-الجدول1[[#This Row],[سعر الغلاف]]*18%</f>
        <v>138.58000000000001</v>
      </c>
      <c r="I105" s="1"/>
    </row>
    <row r="106" spans="1:9" ht="12.75" x14ac:dyDescent="0.2">
      <c r="A106" s="1" t="s">
        <v>60</v>
      </c>
      <c r="B106" s="1" t="s">
        <v>38</v>
      </c>
      <c r="C106" s="1">
        <v>165</v>
      </c>
      <c r="D106" s="1">
        <f>C106-C106*15/100</f>
        <v>140.25</v>
      </c>
      <c r="E106" s="1" t="s">
        <v>138</v>
      </c>
      <c r="F106" s="1" t="s">
        <v>154</v>
      </c>
      <c r="G106" s="1" t="s">
        <v>172</v>
      </c>
      <c r="H106" s="1">
        <f>الجدول1[[#This Row],[سعر الغلاف]]-الجدول1[[#This Row],[سعر الغلاف]]*18%</f>
        <v>135.30000000000001</v>
      </c>
      <c r="I106" s="1"/>
    </row>
    <row r="107" spans="1:9" ht="12.75" x14ac:dyDescent="0.2">
      <c r="A107" s="1" t="s">
        <v>60</v>
      </c>
      <c r="B107" s="2" t="s">
        <v>96</v>
      </c>
      <c r="C107" s="1">
        <v>175</v>
      </c>
      <c r="D107" s="1">
        <f>C107-C107*15/100</f>
        <v>148.75</v>
      </c>
      <c r="E107" s="1" t="s">
        <v>138</v>
      </c>
      <c r="F107" s="1" t="s">
        <v>153</v>
      </c>
      <c r="G107" s="1" t="s">
        <v>172</v>
      </c>
      <c r="H107" s="1">
        <f>الجدول1[[#This Row],[سعر الغلاف]]-الجدول1[[#This Row],[سعر الغلاف]]*18%</f>
        <v>143.5</v>
      </c>
      <c r="I107" s="1"/>
    </row>
    <row r="108" spans="1:9" ht="12.75" x14ac:dyDescent="0.2">
      <c r="A108" s="1" t="s">
        <v>60</v>
      </c>
      <c r="B108" s="1" t="s">
        <v>39</v>
      </c>
      <c r="C108" s="1">
        <v>179</v>
      </c>
      <c r="D108" s="1">
        <f>C108-C108*15/100</f>
        <v>152.15</v>
      </c>
      <c r="E108" s="1" t="s">
        <v>138</v>
      </c>
      <c r="F108" s="1" t="s">
        <v>150</v>
      </c>
      <c r="G108" s="1" t="s">
        <v>172</v>
      </c>
      <c r="H108" s="1">
        <f>الجدول1[[#This Row],[سعر الغلاف]]-الجدول1[[#This Row],[سعر الغلاف]]*18%</f>
        <v>146.78</v>
      </c>
      <c r="I108" s="1"/>
    </row>
    <row r="109" spans="1:9" ht="12.75" x14ac:dyDescent="0.2">
      <c r="A109" s="1" t="s">
        <v>60</v>
      </c>
      <c r="B109" s="1" t="s">
        <v>40</v>
      </c>
      <c r="C109" s="1">
        <v>195</v>
      </c>
      <c r="D109" s="1">
        <f>C109-C109*15/100</f>
        <v>165.75</v>
      </c>
      <c r="E109" s="1" t="s">
        <v>143</v>
      </c>
      <c r="F109" s="1" t="s">
        <v>150</v>
      </c>
      <c r="G109" s="1" t="s">
        <v>172</v>
      </c>
      <c r="H109" s="1">
        <f>الجدول1[[#This Row],[سعر الغلاف]]-الجدول1[[#This Row],[سعر الغلاف]]*20/100</f>
        <v>156</v>
      </c>
      <c r="I109" s="1"/>
    </row>
    <row r="110" spans="1:9" ht="12.75" x14ac:dyDescent="0.2">
      <c r="A110" s="1" t="s">
        <v>60</v>
      </c>
      <c r="B110" s="1" t="s">
        <v>33</v>
      </c>
      <c r="C110" s="1">
        <v>155</v>
      </c>
      <c r="D110" s="1">
        <f>C110-C110*15/100</f>
        <v>131.75</v>
      </c>
      <c r="E110" s="1" t="s">
        <v>142</v>
      </c>
      <c r="F110" s="1" t="s">
        <v>150</v>
      </c>
      <c r="G110" s="1" t="s">
        <v>172</v>
      </c>
      <c r="H110" s="1">
        <f>الجدول1[[#This Row],[سعر الغلاف]]-الجدول1[[#This Row],[سعر الغلاف]]*18%</f>
        <v>127.1</v>
      </c>
      <c r="I110" s="1"/>
    </row>
    <row r="111" spans="1:9" ht="12.75" x14ac:dyDescent="0.2">
      <c r="A111" s="1" t="s">
        <v>60</v>
      </c>
      <c r="B111" s="1" t="s">
        <v>123</v>
      </c>
      <c r="C111" s="1">
        <v>189</v>
      </c>
      <c r="D111" s="1">
        <v>0</v>
      </c>
      <c r="E111" s="1" t="s">
        <v>140</v>
      </c>
      <c r="F111" s="1" t="s">
        <v>150</v>
      </c>
      <c r="G111" s="1" t="s">
        <v>172</v>
      </c>
      <c r="H111" s="1">
        <f>الجدول1[[#This Row],[سعر الغلاف]]-الجدول1[[#This Row],[سعر الغلاف]]*18%</f>
        <v>154.98000000000002</v>
      </c>
      <c r="I111" s="1"/>
    </row>
    <row r="112" spans="1:9" ht="12.75" x14ac:dyDescent="0.2">
      <c r="A112" s="1" t="s">
        <v>60</v>
      </c>
      <c r="B112" s="1" t="s">
        <v>111</v>
      </c>
      <c r="C112" s="1">
        <v>205</v>
      </c>
      <c r="D112" s="1">
        <v>0</v>
      </c>
      <c r="E112" s="1" t="s">
        <v>140</v>
      </c>
      <c r="F112" s="1" t="s">
        <v>159</v>
      </c>
      <c r="G112" s="1" t="s">
        <v>172</v>
      </c>
      <c r="H112" s="1">
        <f>الجدول1[[#This Row],[سعر الغلاف]]-الجدول1[[#This Row],[سعر الغلاف]]*18%</f>
        <v>168.1</v>
      </c>
      <c r="I112" s="1"/>
    </row>
    <row r="113" spans="1:9" ht="12.75" x14ac:dyDescent="0.2">
      <c r="A113" s="1" t="s">
        <v>60</v>
      </c>
      <c r="B113" s="1" t="s">
        <v>128</v>
      </c>
      <c r="C113" s="1">
        <v>299</v>
      </c>
      <c r="D113" s="1">
        <v>0</v>
      </c>
      <c r="E113" s="1" t="s">
        <v>140</v>
      </c>
      <c r="F113" s="1" t="s">
        <v>160</v>
      </c>
      <c r="G113" s="1" t="s">
        <v>172</v>
      </c>
      <c r="H113" s="1">
        <f>الجدول1[[#This Row],[سعر الغلاف]]-الجدول1[[#This Row],[سعر الغلاف]]*18%</f>
        <v>245.18</v>
      </c>
      <c r="I113" s="1"/>
    </row>
    <row r="114" spans="1:9" ht="12.75" x14ac:dyDescent="0.2">
      <c r="A114" s="1" t="s">
        <v>60</v>
      </c>
      <c r="B114" s="1" t="s">
        <v>84</v>
      </c>
      <c r="C114" s="1">
        <v>390</v>
      </c>
      <c r="D114" s="1">
        <v>0</v>
      </c>
      <c r="E114" s="1" t="s">
        <v>140</v>
      </c>
      <c r="F114" s="1" t="s">
        <v>161</v>
      </c>
      <c r="G114" s="1" t="s">
        <v>172</v>
      </c>
      <c r="H114" s="1">
        <f>الجدول1[[#This Row],[سعر الغلاف]]-الجدول1[[#This Row],[سعر الغلاف]]*18%</f>
        <v>319.8</v>
      </c>
      <c r="I114" s="1"/>
    </row>
    <row r="115" spans="1:9" ht="12.75" x14ac:dyDescent="0.2">
      <c r="A115" s="1" t="s">
        <v>61</v>
      </c>
      <c r="B115" s="1" t="s">
        <v>76</v>
      </c>
      <c r="C115" s="1">
        <v>220</v>
      </c>
      <c r="D115" s="1">
        <f>C115-C115*15/100</f>
        <v>187</v>
      </c>
      <c r="E115" s="1" t="s">
        <v>139</v>
      </c>
      <c r="F115" s="1" t="s">
        <v>151</v>
      </c>
      <c r="G115" s="1" t="s">
        <v>173</v>
      </c>
      <c r="H115" s="1">
        <f>الجدول1[[#This Row],[سعر الغلاف]]-الجدول1[[#This Row],[سعر الغلاف]]*18%</f>
        <v>180.4</v>
      </c>
      <c r="I115" s="1"/>
    </row>
    <row r="116" spans="1:9" ht="12.75" x14ac:dyDescent="0.2">
      <c r="A116" s="1" t="s">
        <v>61</v>
      </c>
      <c r="B116" s="1" t="s">
        <v>126</v>
      </c>
      <c r="C116" s="1">
        <v>187</v>
      </c>
      <c r="D116" s="1">
        <v>0</v>
      </c>
      <c r="E116" s="1" t="s">
        <v>139</v>
      </c>
      <c r="F116" s="1" t="s">
        <v>154</v>
      </c>
      <c r="G116" s="1" t="s">
        <v>173</v>
      </c>
      <c r="H116" s="1">
        <f>الجدول1[[#This Row],[سعر الغلاف]]-الجدول1[[#This Row],[سعر الغلاف]]*18%</f>
        <v>153.34</v>
      </c>
      <c r="I116" s="1"/>
    </row>
    <row r="117" spans="1:9" ht="12.75" x14ac:dyDescent="0.2">
      <c r="A117" s="1" t="s">
        <v>61</v>
      </c>
      <c r="B117" s="2" t="s">
        <v>122</v>
      </c>
      <c r="C117" s="1">
        <v>199</v>
      </c>
      <c r="D117" s="1">
        <v>0</v>
      </c>
      <c r="E117" s="1" t="s">
        <v>139</v>
      </c>
      <c r="F117" s="1" t="s">
        <v>153</v>
      </c>
      <c r="G117" s="1" t="s">
        <v>173</v>
      </c>
      <c r="H117" s="1">
        <f>الجدول1[[#This Row],[سعر الغلاف]]-الجدول1[[#This Row],[سعر الغلاف]]*18%</f>
        <v>163.18</v>
      </c>
      <c r="I117" s="1"/>
    </row>
    <row r="118" spans="1:9" ht="12.75" x14ac:dyDescent="0.2">
      <c r="A118" s="1" t="s">
        <v>61</v>
      </c>
      <c r="B118" s="1" t="s">
        <v>125</v>
      </c>
      <c r="C118" s="1">
        <v>185</v>
      </c>
      <c r="D118" s="1">
        <v>185</v>
      </c>
      <c r="E118" s="1" t="s">
        <v>140</v>
      </c>
      <c r="F118" s="1" t="s">
        <v>152</v>
      </c>
      <c r="G118" s="1" t="s">
        <v>173</v>
      </c>
      <c r="H118" s="1">
        <f>الجدول1[[#This Row],[سعر الغلاف]]-الجدول1[[#This Row],[سعر الغلاف]]*18%</f>
        <v>151.69999999999999</v>
      </c>
      <c r="I118" s="1"/>
    </row>
    <row r="119" spans="1:9" ht="12.75" x14ac:dyDescent="0.2">
      <c r="A119" s="1" t="s">
        <v>61</v>
      </c>
      <c r="B119" s="1" t="s">
        <v>127</v>
      </c>
      <c r="C119" s="1">
        <v>199</v>
      </c>
      <c r="D119" s="1">
        <v>0</v>
      </c>
      <c r="E119" s="1" t="s">
        <v>140</v>
      </c>
      <c r="F119" s="1" t="s">
        <v>150</v>
      </c>
      <c r="G119" s="1" t="s">
        <v>173</v>
      </c>
      <c r="H119" s="1">
        <f>الجدول1[[#This Row],[سعر الغلاف]]-الجدول1[[#This Row],[سعر الغلاف]]*18%</f>
        <v>163.18</v>
      </c>
      <c r="I119" s="1"/>
    </row>
    <row r="120" spans="1:9" ht="12.75" x14ac:dyDescent="0.2">
      <c r="A120" s="1" t="s">
        <v>61</v>
      </c>
      <c r="B120" s="1" t="s">
        <v>111</v>
      </c>
      <c r="C120" s="1">
        <v>205</v>
      </c>
      <c r="D120" s="1">
        <v>0</v>
      </c>
      <c r="E120" s="1" t="s">
        <v>140</v>
      </c>
      <c r="F120" s="1" t="s">
        <v>159</v>
      </c>
      <c r="G120" s="1" t="s">
        <v>173</v>
      </c>
      <c r="H120" s="1">
        <f>الجدول1[[#This Row],[سعر الغلاف]]-الجدول1[[#This Row],[سعر الغلاف]]*18%</f>
        <v>168.1</v>
      </c>
      <c r="I120" s="1"/>
    </row>
    <row r="121" spans="1:9" ht="12.75" x14ac:dyDescent="0.2">
      <c r="A121" s="1" t="s">
        <v>61</v>
      </c>
      <c r="B121" s="1" t="s">
        <v>83</v>
      </c>
      <c r="C121" s="1">
        <v>299</v>
      </c>
      <c r="D121" s="1">
        <v>0</v>
      </c>
      <c r="E121" s="1" t="s">
        <v>140</v>
      </c>
      <c r="F121" s="1" t="s">
        <v>160</v>
      </c>
      <c r="G121" s="1" t="s">
        <v>173</v>
      </c>
      <c r="H121" s="1">
        <f>الجدول1[[#This Row],[سعر الغلاف]]-الجدول1[[#This Row],[سعر الغلاف]]*18%</f>
        <v>245.18</v>
      </c>
      <c r="I121" s="1"/>
    </row>
    <row r="122" spans="1:9" ht="12.75" x14ac:dyDescent="0.2">
      <c r="A122" s="1" t="s">
        <v>61</v>
      </c>
      <c r="B122" s="1" t="s">
        <v>84</v>
      </c>
      <c r="C122" s="1">
        <v>390</v>
      </c>
      <c r="D122" s="1">
        <f>C122-C122*15/100</f>
        <v>331.5</v>
      </c>
      <c r="E122" s="1" t="s">
        <v>140</v>
      </c>
      <c r="F122" s="1" t="s">
        <v>161</v>
      </c>
      <c r="G122" s="1" t="s">
        <v>173</v>
      </c>
      <c r="H122" s="1">
        <f>الجدول1[[#This Row],[سعر الغلاف]]-الجدول1[[#This Row],[سعر الغلاف]]*18%</f>
        <v>319.8</v>
      </c>
      <c r="I122" s="1"/>
    </row>
    <row r="123" spans="1:9" ht="12.75" x14ac:dyDescent="0.2">
      <c r="A123" s="1" t="s">
        <v>61</v>
      </c>
      <c r="B123" s="1" t="s">
        <v>77</v>
      </c>
      <c r="C123" s="1">
        <v>199</v>
      </c>
      <c r="D123" s="1">
        <v>0</v>
      </c>
      <c r="E123" s="1" t="s">
        <v>138</v>
      </c>
      <c r="F123" s="1" t="s">
        <v>151</v>
      </c>
      <c r="G123" s="1" t="s">
        <v>173</v>
      </c>
      <c r="H123" s="1">
        <f>الجدول1[[#This Row],[سعر الغلاف]]-الجدول1[[#This Row],[سعر الغلاف]]*18%</f>
        <v>163.18</v>
      </c>
      <c r="I123" s="1"/>
    </row>
    <row r="124" spans="1:9" ht="12.75" x14ac:dyDescent="0.2">
      <c r="A124" s="1" t="s">
        <v>61</v>
      </c>
      <c r="B124" s="1" t="s">
        <v>78</v>
      </c>
      <c r="C124" s="1">
        <v>185</v>
      </c>
      <c r="D124" s="1">
        <v>0</v>
      </c>
      <c r="E124" s="1" t="s">
        <v>138</v>
      </c>
      <c r="F124" s="1" t="s">
        <v>153</v>
      </c>
      <c r="G124" s="1" t="s">
        <v>173</v>
      </c>
      <c r="H124" s="1">
        <f>الجدول1[[#This Row],[سعر الغلاف]]-الجدول1[[#This Row],[سعر الغلاف]]*18%</f>
        <v>151.69999999999999</v>
      </c>
      <c r="I124" s="1"/>
    </row>
    <row r="125" spans="1:9" ht="12.75" x14ac:dyDescent="0.2">
      <c r="A125" s="1" t="s">
        <v>61</v>
      </c>
      <c r="B125" s="1" t="s">
        <v>79</v>
      </c>
      <c r="C125" s="1">
        <v>175</v>
      </c>
      <c r="D125" s="1">
        <v>0</v>
      </c>
      <c r="E125" s="1" t="s">
        <v>138</v>
      </c>
      <c r="F125" s="1" t="s">
        <v>154</v>
      </c>
      <c r="G125" s="1" t="s">
        <v>173</v>
      </c>
      <c r="H125" s="1">
        <f>الجدول1[[#This Row],[سعر الغلاف]]-الجدول1[[#This Row],[سعر الغلاف]]*18%</f>
        <v>143.5</v>
      </c>
      <c r="I125" s="1"/>
    </row>
    <row r="126" spans="1:9" ht="12.75" x14ac:dyDescent="0.2">
      <c r="A126" s="1" t="s">
        <v>62</v>
      </c>
      <c r="B126" s="2" t="s">
        <v>74</v>
      </c>
      <c r="C126" s="1">
        <v>199</v>
      </c>
      <c r="D126" s="1">
        <f>C126-C126*15/100</f>
        <v>169.15</v>
      </c>
      <c r="E126" s="1" t="s">
        <v>138</v>
      </c>
      <c r="F126" s="1" t="s">
        <v>150</v>
      </c>
      <c r="G126" s="1" t="s">
        <v>174</v>
      </c>
      <c r="H126" s="1">
        <f>الجدول1[[#This Row],[سعر الغلاف]]-الجدول1[[#This Row],[سعر الغلاف]]*18%</f>
        <v>163.18</v>
      </c>
      <c r="I126" s="1"/>
    </row>
    <row r="127" spans="1:9" ht="12.75" x14ac:dyDescent="0.2">
      <c r="A127" s="1" t="s">
        <v>61</v>
      </c>
      <c r="B127" s="2" t="s">
        <v>73</v>
      </c>
      <c r="C127" s="1">
        <v>150</v>
      </c>
      <c r="D127" s="1">
        <f>C127-C127*15/100</f>
        <v>127.5</v>
      </c>
      <c r="E127" s="1" t="s">
        <v>142</v>
      </c>
      <c r="F127" s="1" t="s">
        <v>150</v>
      </c>
      <c r="G127" s="1" t="s">
        <v>173</v>
      </c>
      <c r="H127" s="1">
        <f>الجدول1[[#This Row],[سعر الغلاف]]-الجدول1[[#This Row],[سعر الغلاف]]*18%</f>
        <v>123</v>
      </c>
      <c r="I127" s="1"/>
    </row>
    <row r="128" spans="1:9" ht="12.75" x14ac:dyDescent="0.2">
      <c r="A128" s="1" t="s">
        <v>61</v>
      </c>
      <c r="B128" s="3" t="s">
        <v>104</v>
      </c>
      <c r="C128" s="1">
        <v>139</v>
      </c>
      <c r="D128" s="1">
        <v>0</v>
      </c>
      <c r="E128" s="1" t="s">
        <v>138</v>
      </c>
      <c r="F128" s="1" t="s">
        <v>158</v>
      </c>
      <c r="G128" s="1" t="s">
        <v>173</v>
      </c>
      <c r="H128" s="1">
        <f>الجدول1[[#This Row],[سعر الغلاف]]-الجدول1[[#This Row],[سعر الغلاف]]*18%</f>
        <v>113.98</v>
      </c>
      <c r="I128" s="1"/>
    </row>
    <row r="129" spans="1:9" ht="12.75" x14ac:dyDescent="0.2">
      <c r="A129" s="1" t="s">
        <v>61</v>
      </c>
      <c r="B129" s="2" t="s">
        <v>120</v>
      </c>
      <c r="C129" s="1">
        <v>145</v>
      </c>
      <c r="D129" s="1">
        <v>0</v>
      </c>
      <c r="E129" s="1" t="s">
        <v>137</v>
      </c>
      <c r="F129" s="1" t="s">
        <v>158</v>
      </c>
      <c r="G129" s="1" t="s">
        <v>173</v>
      </c>
      <c r="H129" s="13">
        <f>الجدول1[[#This Row],[سعر الغلاف]]-الجدول1[[#This Row],[سعر الغلاف]]*17.5%</f>
        <v>119.625</v>
      </c>
      <c r="I129" s="1"/>
    </row>
    <row r="130" spans="1:9" ht="12.75" x14ac:dyDescent="0.2">
      <c r="A130" s="1" t="s">
        <v>61</v>
      </c>
      <c r="B130" s="7" t="s">
        <v>103</v>
      </c>
      <c r="C130" s="1">
        <v>175</v>
      </c>
      <c r="D130" s="1">
        <f>C130-C130*15/100</f>
        <v>148.75</v>
      </c>
      <c r="E130" s="1" t="s">
        <v>144</v>
      </c>
      <c r="F130" s="1" t="s">
        <v>163</v>
      </c>
      <c r="G130" s="1" t="s">
        <v>173</v>
      </c>
      <c r="H130" s="1">
        <f>الجدول1[[#This Row],[سعر الغلاف]]-الجدول1[[#This Row],[سعر الغلاف]]*20/100</f>
        <v>140</v>
      </c>
      <c r="I130" s="1"/>
    </row>
    <row r="131" spans="1:9" ht="12.75" x14ac:dyDescent="0.2">
      <c r="A131" s="1" t="s">
        <v>63</v>
      </c>
      <c r="B131" s="1" t="s">
        <v>89</v>
      </c>
      <c r="C131" s="1">
        <v>199</v>
      </c>
      <c r="D131" s="1">
        <f>C131-C131*15/100</f>
        <v>169.15</v>
      </c>
      <c r="E131" s="1" t="s">
        <v>138</v>
      </c>
      <c r="F131" s="1" t="s">
        <v>150</v>
      </c>
      <c r="G131" s="1" t="s">
        <v>175</v>
      </c>
      <c r="H131" s="1">
        <f>الجدول1[[#This Row],[سعر الغلاف]]-الجدول1[[#This Row],[سعر الغلاف]]*18%</f>
        <v>163.18</v>
      </c>
      <c r="I131" s="1"/>
    </row>
    <row r="132" spans="1:9" ht="12.75" x14ac:dyDescent="0.2">
      <c r="A132" s="1" t="s">
        <v>63</v>
      </c>
      <c r="B132" s="1" t="s">
        <v>80</v>
      </c>
      <c r="C132" s="1">
        <v>215</v>
      </c>
      <c r="D132" s="1">
        <f>C132-C132*15/100</f>
        <v>182.75</v>
      </c>
      <c r="E132" s="1" t="s">
        <v>138</v>
      </c>
      <c r="F132" s="1" t="s">
        <v>151</v>
      </c>
      <c r="G132" s="1" t="s">
        <v>175</v>
      </c>
      <c r="H132" s="1">
        <f>الجدول1[[#This Row],[سعر الغلاف]]-الجدول1[[#This Row],[سعر الغلاف]]*18%</f>
        <v>176.3</v>
      </c>
      <c r="I132" s="1"/>
    </row>
    <row r="133" spans="1:9" ht="12.75" x14ac:dyDescent="0.2">
      <c r="A133" s="1" t="s">
        <v>62</v>
      </c>
      <c r="B133" s="2" t="s">
        <v>69</v>
      </c>
      <c r="C133" s="1">
        <v>189</v>
      </c>
      <c r="D133" s="1">
        <f>C133-C133*15/100</f>
        <v>160.65</v>
      </c>
      <c r="E133" s="1" t="s">
        <v>139</v>
      </c>
      <c r="F133" s="1" t="s">
        <v>153</v>
      </c>
      <c r="G133" s="1" t="s">
        <v>174</v>
      </c>
      <c r="H133" s="1">
        <f>الجدول1[[#This Row],[سعر الغلاف]]-الجدول1[[#This Row],[سعر الغلاف]]*18%</f>
        <v>154.98000000000002</v>
      </c>
      <c r="I133" s="1"/>
    </row>
    <row r="134" spans="1:9" ht="12.75" x14ac:dyDescent="0.2">
      <c r="A134" s="1" t="s">
        <v>66</v>
      </c>
      <c r="B134" s="1" t="s">
        <v>0</v>
      </c>
      <c r="C134">
        <v>249</v>
      </c>
      <c r="D134" s="1">
        <f>C134-C134*15/100</f>
        <v>211.65</v>
      </c>
      <c r="E134" s="1" t="s">
        <v>138</v>
      </c>
      <c r="F134" s="1" t="s">
        <v>151</v>
      </c>
      <c r="G134" s="1" t="s">
        <v>177</v>
      </c>
      <c r="H134" s="1">
        <f>الجدول1[[#This Row],[سعر الغلاف]]-الجدول1[[#This Row],[سعر الغلاف]]*18%</f>
        <v>204.18</v>
      </c>
      <c r="I134" s="1"/>
    </row>
    <row r="135" spans="1:9" ht="12.75" x14ac:dyDescent="0.2">
      <c r="A135" s="1" t="s">
        <v>62</v>
      </c>
      <c r="B135" s="1" t="s">
        <v>124</v>
      </c>
      <c r="C135" s="1">
        <v>199</v>
      </c>
      <c r="D135" s="1">
        <f>C135-C135*15/100</f>
        <v>169.15</v>
      </c>
      <c r="E135" s="1" t="s">
        <v>140</v>
      </c>
      <c r="F135" s="1" t="s">
        <v>150</v>
      </c>
      <c r="G135" s="1" t="s">
        <v>174</v>
      </c>
      <c r="H135" s="1">
        <f>الجدول1[[#This Row],[سعر الغلاف]]-الجدول1[[#This Row],[سعر الغلاف]]*18%</f>
        <v>163.18</v>
      </c>
      <c r="I135" s="1"/>
    </row>
    <row r="136" spans="1:9" ht="12.75" x14ac:dyDescent="0.2">
      <c r="A136" s="1" t="s">
        <v>62</v>
      </c>
      <c r="B136" s="1" t="s">
        <v>114</v>
      </c>
      <c r="C136" s="1">
        <v>205</v>
      </c>
      <c r="D136" s="1">
        <v>0</v>
      </c>
      <c r="E136" s="1" t="s">
        <v>140</v>
      </c>
      <c r="F136" s="1" t="s">
        <v>159</v>
      </c>
      <c r="G136" s="1" t="s">
        <v>174</v>
      </c>
      <c r="H136" s="1">
        <f>الجدول1[[#This Row],[سعر الغلاف]]-الجدول1[[#This Row],[سعر الغلاف]]*18%</f>
        <v>168.1</v>
      </c>
      <c r="I136" s="1"/>
    </row>
    <row r="137" spans="1:9" ht="12.75" x14ac:dyDescent="0.2">
      <c r="A137" s="1" t="s">
        <v>62</v>
      </c>
      <c r="B137" s="1" t="s">
        <v>83</v>
      </c>
      <c r="C137" s="1">
        <v>0</v>
      </c>
      <c r="D137" s="1">
        <f>C137-C137*15/100</f>
        <v>0</v>
      </c>
      <c r="E137" s="1" t="s">
        <v>140</v>
      </c>
      <c r="F137" s="1" t="s">
        <v>160</v>
      </c>
      <c r="G137" s="1" t="s">
        <v>174</v>
      </c>
      <c r="H137" s="1">
        <f>الجدول1[[#This Row],[سعر الغلاف]]-الجدول1[[#This Row],[سعر الغلاف]]*18%</f>
        <v>0</v>
      </c>
      <c r="I137" s="1"/>
    </row>
    <row r="138" spans="1:9" ht="12.75" x14ac:dyDescent="0.2">
      <c r="A138" s="1" t="s">
        <v>62</v>
      </c>
      <c r="B138" s="1" t="s">
        <v>99</v>
      </c>
      <c r="C138" s="1">
        <v>375</v>
      </c>
      <c r="D138" s="1">
        <v>0</v>
      </c>
      <c r="E138" s="1" t="s">
        <v>140</v>
      </c>
      <c r="F138" s="1" t="s">
        <v>161</v>
      </c>
      <c r="G138" s="1" t="s">
        <v>174</v>
      </c>
      <c r="H138" s="1">
        <f>الجدول1[[#This Row],[سعر الغلاف]]-الجدول1[[#This Row],[سعر الغلاف]]*18%</f>
        <v>307.5</v>
      </c>
      <c r="I138" s="1"/>
    </row>
    <row r="139" spans="1:9" ht="12.75" x14ac:dyDescent="0.2">
      <c r="A139" s="1" t="s">
        <v>62</v>
      </c>
      <c r="B139" s="2" t="s">
        <v>110</v>
      </c>
      <c r="C139" s="1">
        <v>150</v>
      </c>
      <c r="D139" s="1">
        <v>0</v>
      </c>
      <c r="E139" s="1" t="s">
        <v>142</v>
      </c>
      <c r="F139" s="1" t="s">
        <v>150</v>
      </c>
      <c r="G139" s="1" t="s">
        <v>174</v>
      </c>
      <c r="H139" s="1">
        <f>الجدول1[[#This Row],[سعر الغلاف]]-الجدول1[[#This Row],[سعر الغلاف]]*18%</f>
        <v>123</v>
      </c>
      <c r="I139" s="1"/>
    </row>
    <row r="140" spans="1:9" ht="12.75" x14ac:dyDescent="0.2">
      <c r="A140" s="1" t="s">
        <v>66</v>
      </c>
      <c r="B140" s="1" t="s">
        <v>1</v>
      </c>
      <c r="C140">
        <v>329</v>
      </c>
      <c r="D140" s="1">
        <f>C140-C140*15/100</f>
        <v>279.64999999999998</v>
      </c>
      <c r="E140" s="1" t="s">
        <v>138</v>
      </c>
      <c r="F140" s="1" t="s">
        <v>151</v>
      </c>
      <c r="G140" s="1" t="s">
        <v>177</v>
      </c>
      <c r="H140" s="1">
        <f>الجدول1[[#This Row],[سعر الغلاف]]-الجدول1[[#This Row],[سعر الغلاف]]*18%</f>
        <v>269.77999999999997</v>
      </c>
      <c r="I140" s="1"/>
    </row>
    <row r="141" spans="1:9" ht="12.75" x14ac:dyDescent="0.2">
      <c r="A141" s="1" t="s">
        <v>62</v>
      </c>
      <c r="B141" s="1" t="s">
        <v>41</v>
      </c>
      <c r="C141" s="1">
        <v>199</v>
      </c>
      <c r="D141" s="1">
        <f>C141-C141*15/100</f>
        <v>169.15</v>
      </c>
      <c r="E141" s="1" t="s">
        <v>138</v>
      </c>
      <c r="F141" s="1" t="s">
        <v>151</v>
      </c>
      <c r="G141" s="1" t="s">
        <v>174</v>
      </c>
      <c r="H141" s="1">
        <f>الجدول1[[#This Row],[سعر الغلاف]]-الجدول1[[#This Row],[سعر الغلاف]]*18%</f>
        <v>163.18</v>
      </c>
      <c r="I141" s="1"/>
    </row>
    <row r="142" spans="1:9" ht="12.75" x14ac:dyDescent="0.2">
      <c r="A142" s="1" t="s">
        <v>62</v>
      </c>
      <c r="B142" s="2" t="s">
        <v>121</v>
      </c>
      <c r="C142" s="1">
        <v>149</v>
      </c>
      <c r="D142" s="1">
        <v>0</v>
      </c>
      <c r="E142" s="1" t="s">
        <v>138</v>
      </c>
      <c r="F142" s="1" t="s">
        <v>158</v>
      </c>
      <c r="G142" s="1" t="s">
        <v>174</v>
      </c>
      <c r="H142" s="1">
        <f>الجدول1[[#This Row],[سعر الغلاف]]-الجدول1[[#This Row],[سعر الغلاف]]*18%</f>
        <v>122.18</v>
      </c>
      <c r="I142" s="1"/>
    </row>
    <row r="143" spans="1:9" ht="12.75" x14ac:dyDescent="0.2">
      <c r="A143" s="1" t="s">
        <v>62</v>
      </c>
      <c r="B143" s="2" t="s">
        <v>71</v>
      </c>
      <c r="C143" s="1">
        <v>179</v>
      </c>
      <c r="D143" s="1">
        <f>C143-C143*15/100</f>
        <v>152.15</v>
      </c>
      <c r="E143" s="1" t="s">
        <v>138</v>
      </c>
      <c r="F143" s="1" t="s">
        <v>154</v>
      </c>
      <c r="G143" s="1" t="s">
        <v>174</v>
      </c>
      <c r="H143" s="1">
        <f>الجدول1[[#This Row],[سعر الغلاف]]-الجدول1[[#This Row],[سعر الغلاف]]*18%</f>
        <v>146.78</v>
      </c>
      <c r="I143" s="1"/>
    </row>
    <row r="144" spans="1:9" ht="12.75" x14ac:dyDescent="0.2">
      <c r="A144" s="1" t="s">
        <v>62</v>
      </c>
      <c r="B144" s="2" t="s">
        <v>72</v>
      </c>
      <c r="C144" s="1">
        <v>185</v>
      </c>
      <c r="D144" s="1">
        <f>C144-C144*15/100</f>
        <v>157.25</v>
      </c>
      <c r="E144" s="1" t="s">
        <v>138</v>
      </c>
      <c r="F144" s="1" t="s">
        <v>153</v>
      </c>
      <c r="G144" s="1" t="s">
        <v>174</v>
      </c>
      <c r="H144" s="1">
        <f>الجدول1[[#This Row],[سعر الغلاف]]-الجدول1[[#This Row],[سعر الغلاف]]*18%</f>
        <v>151.69999999999999</v>
      </c>
      <c r="I144" s="1"/>
    </row>
    <row r="145" spans="1:9" ht="12.75" x14ac:dyDescent="0.2">
      <c r="A145" s="1" t="s">
        <v>66</v>
      </c>
      <c r="B145" s="1" t="s">
        <v>113</v>
      </c>
      <c r="C145">
        <v>229</v>
      </c>
      <c r="D145" s="1">
        <f>C145-C145*15/100</f>
        <v>194.65</v>
      </c>
      <c r="E145" s="1" t="s">
        <v>138</v>
      </c>
      <c r="F145" s="1" t="s">
        <v>151</v>
      </c>
      <c r="G145" s="1" t="s">
        <v>177</v>
      </c>
      <c r="H145" s="1">
        <f>الجدول1[[#This Row],[سعر الغلاف]]-الجدول1[[#This Row],[سعر الغلاف]]*18%</f>
        <v>187.78</v>
      </c>
      <c r="I145" s="1"/>
    </row>
    <row r="146" spans="1:9" ht="12.75" x14ac:dyDescent="0.2">
      <c r="A146" s="1" t="s">
        <v>62</v>
      </c>
      <c r="B146" s="2" t="s">
        <v>67</v>
      </c>
      <c r="C146" s="1">
        <v>220</v>
      </c>
      <c r="D146" s="1">
        <f>C146-C146*15/100</f>
        <v>187</v>
      </c>
      <c r="E146" s="1" t="s">
        <v>139</v>
      </c>
      <c r="F146" s="1" t="s">
        <v>151</v>
      </c>
      <c r="G146" s="1" t="s">
        <v>174</v>
      </c>
      <c r="H146" s="1">
        <f>الجدول1[[#This Row],[سعر الغلاف]]-الجدول1[[#This Row],[سعر الغلاف]]*18%</f>
        <v>180.4</v>
      </c>
      <c r="I146" s="1"/>
    </row>
    <row r="147" spans="1:9" ht="12.75" x14ac:dyDescent="0.2">
      <c r="A147" s="1" t="s">
        <v>63</v>
      </c>
      <c r="B147" s="2" t="s">
        <v>100</v>
      </c>
      <c r="C147" s="1">
        <v>199</v>
      </c>
      <c r="D147" s="1">
        <f>C147-C147*15/100</f>
        <v>169.15</v>
      </c>
      <c r="E147" s="1" t="s">
        <v>139</v>
      </c>
      <c r="F147" s="1" t="s">
        <v>154</v>
      </c>
      <c r="G147" s="1" t="s">
        <v>175</v>
      </c>
      <c r="H147" s="1">
        <f>الجدول1[[#This Row],[سعر الغلاف]]-الجدول1[[#This Row],[سعر الغلاف]]*18%</f>
        <v>163.18</v>
      </c>
      <c r="I147" s="1"/>
    </row>
    <row r="148" spans="1:9" ht="12.75" x14ac:dyDescent="0.2">
      <c r="A148" s="1" t="s">
        <v>63</v>
      </c>
      <c r="B148" s="2" t="s">
        <v>86</v>
      </c>
      <c r="C148" s="1">
        <v>199</v>
      </c>
      <c r="D148" s="1">
        <f>C148-C148*15/100</f>
        <v>169.15</v>
      </c>
      <c r="E148" s="1" t="s">
        <v>139</v>
      </c>
      <c r="F148" s="1" t="s">
        <v>153</v>
      </c>
      <c r="G148" s="1" t="s">
        <v>175</v>
      </c>
      <c r="H148" s="1">
        <f>الجدول1[[#This Row],[سعر الغلاف]]-الجدول1[[#This Row],[سعر الغلاف]]*18%</f>
        <v>163.18</v>
      </c>
      <c r="I148" s="1"/>
    </row>
    <row r="149" spans="1:9" ht="12.75" x14ac:dyDescent="0.2">
      <c r="A149" s="1" t="s">
        <v>63</v>
      </c>
      <c r="B149" s="2" t="s">
        <v>75</v>
      </c>
      <c r="C149" s="1">
        <v>185</v>
      </c>
      <c r="D149" s="1">
        <f>C149-C149*15/100</f>
        <v>157.25</v>
      </c>
      <c r="E149" s="1" t="s">
        <v>140</v>
      </c>
      <c r="F149" s="1" t="s">
        <v>152</v>
      </c>
      <c r="G149" s="1" t="s">
        <v>175</v>
      </c>
      <c r="H149" s="1">
        <f>الجدول1[[#This Row],[سعر الغلاف]]-الجدول1[[#This Row],[سعر الغلاف]]*18%</f>
        <v>151.69999999999999</v>
      </c>
      <c r="I149" s="1"/>
    </row>
    <row r="150" spans="1:9" ht="12.75" x14ac:dyDescent="0.2">
      <c r="A150" s="1" t="s">
        <v>63</v>
      </c>
      <c r="B150" s="2" t="s">
        <v>70</v>
      </c>
      <c r="C150" s="1">
        <v>199</v>
      </c>
      <c r="D150" s="1">
        <f>C150-C150*15/100</f>
        <v>169.15</v>
      </c>
      <c r="E150" s="1" t="s">
        <v>140</v>
      </c>
      <c r="F150" s="1" t="s">
        <v>150</v>
      </c>
      <c r="G150" s="1" t="s">
        <v>175</v>
      </c>
      <c r="H150" s="1">
        <f>الجدول1[[#This Row],[سعر الغلاف]]-الجدول1[[#This Row],[سعر الغلاف]]*18%</f>
        <v>163.18</v>
      </c>
      <c r="I150" s="1"/>
    </row>
    <row r="151" spans="1:9" ht="12.75" x14ac:dyDescent="0.2">
      <c r="A151" s="1" t="s">
        <v>63</v>
      </c>
      <c r="B151" s="1" t="s">
        <v>111</v>
      </c>
      <c r="C151" s="1">
        <v>205</v>
      </c>
      <c r="D151" s="1">
        <v>0</v>
      </c>
      <c r="E151" s="1" t="s">
        <v>140</v>
      </c>
      <c r="F151" s="1" t="s">
        <v>159</v>
      </c>
      <c r="G151" s="1" t="s">
        <v>175</v>
      </c>
      <c r="H151" s="1">
        <f>الجدول1[[#This Row],[سعر الغلاف]]-الجدول1[[#This Row],[سعر الغلاف]]*18%</f>
        <v>168.1</v>
      </c>
      <c r="I151" s="1"/>
    </row>
    <row r="152" spans="1:9" ht="12.75" x14ac:dyDescent="0.2">
      <c r="A152" s="1" t="s">
        <v>63</v>
      </c>
      <c r="B152" s="1" t="s">
        <v>83</v>
      </c>
      <c r="C152" s="1">
        <v>0</v>
      </c>
      <c r="D152" s="1">
        <f>C152-C152*15/100</f>
        <v>0</v>
      </c>
      <c r="E152" s="1" t="s">
        <v>140</v>
      </c>
      <c r="F152" s="1" t="s">
        <v>160</v>
      </c>
      <c r="G152" s="1" t="s">
        <v>175</v>
      </c>
      <c r="H152" s="1">
        <f>الجدول1[[#This Row],[سعر الغلاف]]-الجدول1[[#This Row],[سعر الغلاف]]*18%</f>
        <v>0</v>
      </c>
      <c r="I152" s="1"/>
    </row>
    <row r="153" spans="1:9" ht="12.75" x14ac:dyDescent="0.2">
      <c r="A153" s="1" t="s">
        <v>63</v>
      </c>
      <c r="B153" s="1" t="s">
        <v>84</v>
      </c>
      <c r="C153" s="1">
        <v>0</v>
      </c>
      <c r="D153" s="1">
        <f>C153-C153*15/100</f>
        <v>0</v>
      </c>
      <c r="E153" s="1" t="s">
        <v>140</v>
      </c>
      <c r="F153" s="1" t="s">
        <v>161</v>
      </c>
      <c r="G153" s="1" t="s">
        <v>175</v>
      </c>
      <c r="H153" s="1">
        <f>الجدول1[[#This Row],[سعر الغلاف]]-الجدول1[[#This Row],[سعر الغلاف]]*18%</f>
        <v>0</v>
      </c>
      <c r="I153" s="1"/>
    </row>
    <row r="154" spans="1:9" ht="12.75" x14ac:dyDescent="0.2">
      <c r="A154" s="1" t="s">
        <v>63</v>
      </c>
      <c r="B154" s="1" t="s">
        <v>73</v>
      </c>
      <c r="C154" s="1">
        <v>150</v>
      </c>
      <c r="D154" s="1">
        <f>C154-C154*15/100</f>
        <v>127.5</v>
      </c>
      <c r="E154" s="1" t="s">
        <v>142</v>
      </c>
      <c r="F154" s="1" t="s">
        <v>150</v>
      </c>
      <c r="G154" s="1" t="s">
        <v>175</v>
      </c>
      <c r="H154" s="1">
        <f>الجدول1[[#This Row],[سعر الغلاف]]-الجدول1[[#This Row],[سعر الغلاف]]*18%</f>
        <v>123</v>
      </c>
      <c r="I154" s="1"/>
    </row>
    <row r="155" spans="1:9" ht="12.75" x14ac:dyDescent="0.2">
      <c r="A155" s="1" t="s">
        <v>62</v>
      </c>
      <c r="B155" s="2" t="s">
        <v>68</v>
      </c>
      <c r="C155" s="1">
        <v>189</v>
      </c>
      <c r="D155" s="1">
        <f>C155-C155*15/100</f>
        <v>160.65</v>
      </c>
      <c r="E155" s="1" t="s">
        <v>139</v>
      </c>
      <c r="F155" s="1" t="s">
        <v>154</v>
      </c>
      <c r="G155" s="1" t="s">
        <v>174</v>
      </c>
      <c r="H155" s="1">
        <f>الجدول1[[#This Row],[سعر الغلاف]]-الجدول1[[#This Row],[سعر الغلاف]]*18%</f>
        <v>154.98000000000002</v>
      </c>
      <c r="I155" s="1"/>
    </row>
    <row r="156" spans="1:9" ht="12.75" x14ac:dyDescent="0.2">
      <c r="A156" s="1" t="s">
        <v>63</v>
      </c>
      <c r="B156" s="2" t="s">
        <v>93</v>
      </c>
      <c r="C156" s="1">
        <v>235</v>
      </c>
      <c r="D156" s="1">
        <f>C156-C156*15/100</f>
        <v>199.75</v>
      </c>
      <c r="E156" s="1" t="s">
        <v>139</v>
      </c>
      <c r="F156" s="1" t="s">
        <v>151</v>
      </c>
      <c r="G156" s="1" t="s">
        <v>175</v>
      </c>
      <c r="H156" s="1">
        <f>الجدول1[[#This Row],[سعر الغلاف]]-الجدول1[[#This Row],[سعر الغلاف]]*18%</f>
        <v>192.7</v>
      </c>
      <c r="I156" s="1"/>
    </row>
    <row r="157" spans="1:9" ht="12.75" x14ac:dyDescent="0.2">
      <c r="A157" s="1" t="s">
        <v>63</v>
      </c>
      <c r="B157" s="2" t="s">
        <v>97</v>
      </c>
      <c r="C157" s="1">
        <v>189</v>
      </c>
      <c r="D157" s="1">
        <f>C157-C157*15/100</f>
        <v>160.65</v>
      </c>
      <c r="E157" s="1" t="s">
        <v>138</v>
      </c>
      <c r="F157" s="1" t="s">
        <v>154</v>
      </c>
      <c r="G157" s="1" t="s">
        <v>175</v>
      </c>
      <c r="H157" s="1">
        <f>الجدول1[[#This Row],[سعر الغلاف]]-الجدول1[[#This Row],[سعر الغلاف]]*18%</f>
        <v>154.98000000000002</v>
      </c>
      <c r="I157" s="1"/>
    </row>
    <row r="158" spans="1:9" ht="12.75" x14ac:dyDescent="0.2">
      <c r="A158" s="1" t="s">
        <v>63</v>
      </c>
      <c r="B158" s="2" t="s">
        <v>98</v>
      </c>
      <c r="C158" s="1">
        <v>189</v>
      </c>
      <c r="D158" s="1">
        <f>C158-C158*15/100</f>
        <v>160.65</v>
      </c>
      <c r="E158" s="1" t="s">
        <v>138</v>
      </c>
      <c r="F158" s="1" t="s">
        <v>153</v>
      </c>
      <c r="G158" s="1" t="s">
        <v>175</v>
      </c>
      <c r="H158" s="1">
        <f>الجدول1[[#This Row],[سعر الغلاف]]-الجدول1[[#This Row],[سعر الغلاف]]*18%</f>
        <v>154.98000000000002</v>
      </c>
      <c r="I158" s="1"/>
    </row>
    <row r="159" spans="1:9" ht="12.75" x14ac:dyDescent="0.2">
      <c r="A159" s="1" t="s">
        <v>63</v>
      </c>
      <c r="B159" s="2" t="s">
        <v>104</v>
      </c>
      <c r="C159" s="1">
        <v>149</v>
      </c>
      <c r="D159" s="1">
        <v>0</v>
      </c>
      <c r="E159" s="1" t="s">
        <v>138</v>
      </c>
      <c r="F159" s="1" t="s">
        <v>158</v>
      </c>
      <c r="G159" s="1" t="s">
        <v>175</v>
      </c>
      <c r="H159" s="1">
        <f>الجدول1[[#This Row],[سعر الغلاف]]-الجدول1[[#This Row],[سعر الغلاف]]*18%</f>
        <v>122.18</v>
      </c>
      <c r="I159" s="1"/>
    </row>
    <row r="160" spans="1:9" ht="12.75" x14ac:dyDescent="0.2">
      <c r="A160" s="1" t="s">
        <v>63</v>
      </c>
      <c r="B160" s="7" t="s">
        <v>103</v>
      </c>
      <c r="C160" s="1">
        <v>175</v>
      </c>
      <c r="D160" s="1">
        <f>C160-C160*15/100</f>
        <v>148.75</v>
      </c>
      <c r="E160" s="1" t="s">
        <v>144</v>
      </c>
      <c r="F160" s="1" t="s">
        <v>163</v>
      </c>
      <c r="G160" s="1" t="s">
        <v>175</v>
      </c>
      <c r="H160" s="1">
        <f>الجدول1[[#This Row],[سعر الغلاف]]-الجدول1[[#This Row],[سعر الغلاف]]*20/100</f>
        <v>140</v>
      </c>
      <c r="I160" s="1"/>
    </row>
    <row r="161" spans="1:9" ht="12.75" x14ac:dyDescent="0.2">
      <c r="A161" s="1" t="s">
        <v>64</v>
      </c>
      <c r="B161" s="7" t="s">
        <v>102</v>
      </c>
      <c r="C161" s="1">
        <v>180</v>
      </c>
      <c r="D161" s="1">
        <f>C161-C161*15/100</f>
        <v>153</v>
      </c>
      <c r="E161" s="1" t="s">
        <v>145</v>
      </c>
      <c r="F161" s="1" t="s">
        <v>163</v>
      </c>
      <c r="G161" s="1" t="s">
        <v>176</v>
      </c>
      <c r="H161" s="1">
        <f>الجدول1[[#This Row],[سعر الغلاف]]-الجدول1[[#This Row],[سعر الغلاف]]*20/100</f>
        <v>144</v>
      </c>
      <c r="I161" s="1"/>
    </row>
    <row r="162" spans="1:9" ht="12.75" x14ac:dyDescent="0.2">
      <c r="A162" s="1" t="s">
        <v>64</v>
      </c>
      <c r="B162" s="1" t="s">
        <v>95</v>
      </c>
      <c r="C162" s="1">
        <v>285</v>
      </c>
      <c r="D162" s="1">
        <f>C162-C162*15/100</f>
        <v>242.25</v>
      </c>
      <c r="E162" s="1" t="s">
        <v>140</v>
      </c>
      <c r="F162" s="1" t="s">
        <v>150</v>
      </c>
      <c r="G162" s="1" t="s">
        <v>176</v>
      </c>
      <c r="H162" s="1">
        <f>الجدول1[[#This Row],[سعر الغلاف]]-الجدول1[[#This Row],[سعر الغلاف]]*18%</f>
        <v>233.7</v>
      </c>
      <c r="I162" s="1"/>
    </row>
    <row r="163" spans="1:9" ht="12.75" x14ac:dyDescent="0.2">
      <c r="A163" s="1" t="s">
        <v>64</v>
      </c>
      <c r="B163" s="1" t="s">
        <v>90</v>
      </c>
      <c r="C163" s="1">
        <v>275</v>
      </c>
      <c r="D163" s="1">
        <f>C163-C163*15/100</f>
        <v>233.75</v>
      </c>
      <c r="E163" s="1" t="s">
        <v>138</v>
      </c>
      <c r="F163" s="1" t="s">
        <v>150</v>
      </c>
      <c r="G163" s="1" t="s">
        <v>176</v>
      </c>
      <c r="H163" s="1">
        <f>الجدول1[[#This Row],[سعر الغلاف]]-الجدول1[[#This Row],[سعر الغلاف]]*18%</f>
        <v>225.5</v>
      </c>
      <c r="I163" s="1"/>
    </row>
    <row r="164" spans="1:9" ht="12.75" x14ac:dyDescent="0.2">
      <c r="A164" s="1" t="s">
        <v>64</v>
      </c>
      <c r="B164" s="1" t="s">
        <v>91</v>
      </c>
      <c r="C164" s="1">
        <v>239</v>
      </c>
      <c r="D164" s="1">
        <f>C164-C164*15/100</f>
        <v>203.15</v>
      </c>
      <c r="E164" s="1" t="s">
        <v>138</v>
      </c>
      <c r="F164" s="1" t="s">
        <v>151</v>
      </c>
      <c r="G164" s="1" t="s">
        <v>176</v>
      </c>
      <c r="H164" s="1">
        <f>الجدول1[[#This Row],[سعر الغلاف]]-الجدول1[[#This Row],[سعر الغلاف]]*18%</f>
        <v>195.98000000000002</v>
      </c>
      <c r="I164" s="1"/>
    </row>
    <row r="165" spans="1:9" ht="12.75" x14ac:dyDescent="0.2">
      <c r="A165" s="1" t="s">
        <v>64</v>
      </c>
      <c r="B165" s="4" t="s">
        <v>82</v>
      </c>
      <c r="C165" s="1">
        <v>174</v>
      </c>
      <c r="D165" s="1">
        <f>C165-C165*15/100</f>
        <v>147.9</v>
      </c>
      <c r="E165" s="1" t="s">
        <v>139</v>
      </c>
      <c r="F165" s="1" t="s">
        <v>164</v>
      </c>
      <c r="G165" s="1" t="s">
        <v>176</v>
      </c>
      <c r="H165" s="1">
        <f>الجدول1[[#This Row],[سعر الغلاف]]-الجدول1[[#This Row],[سعر الغلاف]]*18%</f>
        <v>142.68</v>
      </c>
      <c r="I165" s="1"/>
    </row>
    <row r="166" spans="1:9" ht="12.75" x14ac:dyDescent="0.2">
      <c r="A166" s="1" t="s">
        <v>64</v>
      </c>
      <c r="B166" s="4" t="s">
        <v>81</v>
      </c>
      <c r="C166" s="1">
        <v>185</v>
      </c>
      <c r="D166" s="1">
        <f>C166-C166*15/100</f>
        <v>157.25</v>
      </c>
      <c r="E166" s="1" t="s">
        <v>139</v>
      </c>
      <c r="F166" s="1" t="s">
        <v>165</v>
      </c>
      <c r="G166" s="1" t="s">
        <v>176</v>
      </c>
      <c r="H166" s="1">
        <f>الجدول1[[#This Row],[سعر الغلاف]]-الجدول1[[#This Row],[سعر الغلاف]]*18%</f>
        <v>151.69999999999999</v>
      </c>
      <c r="I166" s="1"/>
    </row>
    <row r="167" spans="1:9" ht="12.75" x14ac:dyDescent="0.2">
      <c r="A167" s="1" t="s">
        <v>64</v>
      </c>
      <c r="B167" s="4" t="s">
        <v>109</v>
      </c>
      <c r="C167" s="1">
        <v>259</v>
      </c>
      <c r="D167" s="1">
        <f>C167-C167*15/100</f>
        <v>220.15</v>
      </c>
      <c r="E167" s="1" t="s">
        <v>139</v>
      </c>
      <c r="F167" s="1" t="s">
        <v>151</v>
      </c>
      <c r="G167" s="1" t="s">
        <v>176</v>
      </c>
      <c r="H167" s="1">
        <f>الجدول1[[#This Row],[سعر الغلاف]]-الجدول1[[#This Row],[سعر الغلاف]]*18%</f>
        <v>212.38</v>
      </c>
      <c r="I167" s="1"/>
    </row>
    <row r="168" spans="1:9" ht="12.75" x14ac:dyDescent="0.2">
      <c r="A168" s="1" t="s">
        <v>64</v>
      </c>
      <c r="B168" s="7" t="s">
        <v>101</v>
      </c>
      <c r="C168" s="1">
        <v>160</v>
      </c>
      <c r="D168" s="1">
        <f>C168-C168*15/100</f>
        <v>136</v>
      </c>
      <c r="E168" s="1" t="s">
        <v>144</v>
      </c>
      <c r="F168" s="1" t="s">
        <v>163</v>
      </c>
      <c r="G168" s="1" t="s">
        <v>176</v>
      </c>
      <c r="H168" s="1">
        <f>الجدول1[[#This Row],[سعر الغلاف]]-الجدول1[[#This Row],[سعر الغلاف]]*20/100</f>
        <v>128</v>
      </c>
      <c r="I168" s="1"/>
    </row>
    <row r="169" spans="1:9" ht="12.75" x14ac:dyDescent="0.2">
      <c r="A169" s="1" t="s">
        <v>65</v>
      </c>
      <c r="B169" s="1" t="s">
        <v>129</v>
      </c>
      <c r="C169" s="1">
        <v>340</v>
      </c>
      <c r="D169" s="1">
        <f>C169-C169*15/100</f>
        <v>289</v>
      </c>
      <c r="E169" s="1" t="s">
        <v>140</v>
      </c>
      <c r="F169" s="1" t="s">
        <v>150</v>
      </c>
      <c r="G169" s="1" t="s">
        <v>178</v>
      </c>
      <c r="H169" s="1">
        <f>الجدول1[[#This Row],[سعر الغلاف]]-الجدول1[[#This Row],[سعر الغلاف]]*18%</f>
        <v>278.8</v>
      </c>
      <c r="I169" s="1"/>
    </row>
    <row r="170" spans="1:9" ht="12.75" x14ac:dyDescent="0.2">
      <c r="A170" s="1" t="s">
        <v>65</v>
      </c>
      <c r="B170" s="1" t="s">
        <v>240</v>
      </c>
      <c r="C170" s="1">
        <v>299</v>
      </c>
      <c r="D170" s="1">
        <f>C170-C170*15/100</f>
        <v>254.15</v>
      </c>
      <c r="E170" s="1" t="s">
        <v>138</v>
      </c>
      <c r="F170" s="1" t="s">
        <v>151</v>
      </c>
      <c r="G170" s="1" t="s">
        <v>178</v>
      </c>
      <c r="H170" s="1">
        <f>الجدول1[[#This Row],[سعر الغلاف]]-الجدول1[[#This Row],[سعر الغلاف]]*18%</f>
        <v>245.18</v>
      </c>
      <c r="I170" s="1"/>
    </row>
    <row r="171" spans="1:9" ht="12.75" x14ac:dyDescent="0.2">
      <c r="A171" s="1" t="s">
        <v>66</v>
      </c>
      <c r="B171" s="1" t="s">
        <v>42</v>
      </c>
      <c r="C171" s="1">
        <v>218</v>
      </c>
      <c r="D171" s="1">
        <f>C171-C171*15/100</f>
        <v>185.3</v>
      </c>
      <c r="E171" s="1" t="s">
        <v>139</v>
      </c>
      <c r="F171" s="1" t="s">
        <v>166</v>
      </c>
      <c r="G171" s="1" t="s">
        <v>177</v>
      </c>
      <c r="H171" s="1">
        <f>الجدول1[[#This Row],[سعر الغلاف]]-الجدول1[[#This Row],[سعر الغلاف]]*18%</f>
        <v>178.76</v>
      </c>
      <c r="I171" s="1"/>
    </row>
    <row r="172" spans="1:9" ht="12.75" x14ac:dyDescent="0.2">
      <c r="A172" s="1" t="s">
        <v>66</v>
      </c>
      <c r="B172" s="1" t="s">
        <v>43</v>
      </c>
      <c r="C172" s="1">
        <v>265</v>
      </c>
      <c r="D172" s="1">
        <f>C172-C172*15/100</f>
        <v>225.25</v>
      </c>
      <c r="E172" s="1" t="s">
        <v>139</v>
      </c>
      <c r="F172" s="1" t="s">
        <v>164</v>
      </c>
      <c r="G172" s="1" t="s">
        <v>177</v>
      </c>
      <c r="H172" s="1">
        <f>الجدول1[[#This Row],[سعر الغلاف]]-الجدول1[[#This Row],[سعر الغلاف]]*18%</f>
        <v>217.3</v>
      </c>
      <c r="I172" s="1"/>
    </row>
    <row r="173" spans="1:9" ht="12.75" x14ac:dyDescent="0.2">
      <c r="A173" s="1" t="s">
        <v>66</v>
      </c>
      <c r="B173" s="1" t="s">
        <v>108</v>
      </c>
      <c r="C173" s="1">
        <v>270</v>
      </c>
      <c r="D173" s="1">
        <f>C173-C173*15/100</f>
        <v>229.5</v>
      </c>
      <c r="E173" s="1" t="s">
        <v>139</v>
      </c>
      <c r="F173" s="1" t="s">
        <v>166</v>
      </c>
      <c r="G173" s="1" t="s">
        <v>177</v>
      </c>
      <c r="H173" s="1">
        <f>الجدول1[[#This Row],[سعر الغلاف]]-الجدول1[[#This Row],[سعر الغلاف]]*18%</f>
        <v>221.4</v>
      </c>
      <c r="I173" s="1"/>
    </row>
    <row r="174" spans="1:9" ht="12.75" x14ac:dyDescent="0.2">
      <c r="A174" s="1" t="s">
        <v>66</v>
      </c>
      <c r="B174" s="1" t="s">
        <v>107</v>
      </c>
      <c r="C174" s="1">
        <v>265</v>
      </c>
      <c r="D174" s="1">
        <f>C174-C174*15/100</f>
        <v>225.25</v>
      </c>
      <c r="E174" s="1" t="s">
        <v>139</v>
      </c>
      <c r="F174" s="1" t="s">
        <v>164</v>
      </c>
      <c r="G174" s="1" t="s">
        <v>177</v>
      </c>
      <c r="H174" s="1">
        <f>الجدول1[[#This Row],[سعر الغلاف]]-الجدول1[[#This Row],[سعر الغلاف]]*18%</f>
        <v>217.3</v>
      </c>
      <c r="I174" s="1"/>
    </row>
    <row r="175" spans="1:9" ht="12.75" x14ac:dyDescent="0.2">
      <c r="A175" s="1" t="s">
        <v>66</v>
      </c>
      <c r="B175" s="1" t="s">
        <v>44</v>
      </c>
      <c r="C175" s="1">
        <v>285</v>
      </c>
      <c r="D175" s="1">
        <f>C175-C175*15/100</f>
        <v>242.25</v>
      </c>
      <c r="E175" s="1" t="s">
        <v>139</v>
      </c>
      <c r="F175" s="1" t="s">
        <v>156</v>
      </c>
      <c r="G175" s="1" t="s">
        <v>177</v>
      </c>
      <c r="H175" s="1">
        <f>الجدول1[[#This Row],[سعر الغلاف]]-الجدول1[[#This Row],[سعر الغلاف]]*18%</f>
        <v>233.7</v>
      </c>
      <c r="I175" s="1"/>
    </row>
    <row r="176" spans="1:9" ht="12.75" x14ac:dyDescent="0.2">
      <c r="A176" s="1" t="s">
        <v>66</v>
      </c>
      <c r="B176" s="1" t="s">
        <v>45</v>
      </c>
      <c r="C176" s="1">
        <v>340</v>
      </c>
      <c r="D176" s="1">
        <f>C176-C176*15/100</f>
        <v>289</v>
      </c>
      <c r="E176" s="1" t="s">
        <v>139</v>
      </c>
      <c r="F176" s="1" t="s">
        <v>156</v>
      </c>
      <c r="G176" s="1" t="s">
        <v>177</v>
      </c>
      <c r="H176" s="1">
        <f>الجدول1[[#This Row],[سعر الغلاف]]-الجدول1[[#This Row],[سعر الغلاف]]*18%</f>
        <v>278.8</v>
      </c>
      <c r="I176" s="1"/>
    </row>
    <row r="177" spans="1:9" ht="12.75" x14ac:dyDescent="0.2">
      <c r="A177" s="1" t="s">
        <v>66</v>
      </c>
      <c r="B177" s="1" t="s">
        <v>46</v>
      </c>
      <c r="C177" s="1">
        <v>215</v>
      </c>
      <c r="D177" s="1">
        <f>C177-C177*15/100</f>
        <v>182.75</v>
      </c>
      <c r="E177" s="1" t="s">
        <v>139</v>
      </c>
      <c r="F177" s="1" t="s">
        <v>155</v>
      </c>
      <c r="G177" s="1" t="s">
        <v>177</v>
      </c>
      <c r="H177" s="1">
        <f>الجدول1[[#This Row],[سعر الغلاف]]-الجدول1[[#This Row],[سعر الغلاف]]*18%</f>
        <v>176.3</v>
      </c>
      <c r="I177" s="1"/>
    </row>
    <row r="178" spans="1:9" ht="12.75" x14ac:dyDescent="0.2">
      <c r="A178" s="1" t="s">
        <v>66</v>
      </c>
      <c r="B178" s="1" t="s">
        <v>47</v>
      </c>
      <c r="C178">
        <v>299</v>
      </c>
      <c r="D178" s="1">
        <f>C178-C178*15/100</f>
        <v>254.15</v>
      </c>
      <c r="E178" s="1" t="s">
        <v>139</v>
      </c>
      <c r="F178" s="1" t="s">
        <v>155</v>
      </c>
      <c r="G178" s="1" t="s">
        <v>177</v>
      </c>
      <c r="H178" s="1">
        <f>الجدول1[[#This Row],[سعر الغلاف]]-الجدول1[[#This Row],[سعر الغلاف]]*18%</f>
        <v>245.18</v>
      </c>
      <c r="I178" s="1"/>
    </row>
    <row r="179" spans="1:9" ht="12.75" x14ac:dyDescent="0.2">
      <c r="A179" s="1" t="s">
        <v>66</v>
      </c>
      <c r="B179" s="1" t="s">
        <v>48</v>
      </c>
      <c r="C179">
        <v>230</v>
      </c>
      <c r="D179" s="1">
        <f>C179-C179*15/100</f>
        <v>195.5</v>
      </c>
      <c r="E179" s="1" t="s">
        <v>139</v>
      </c>
      <c r="F179" s="1" t="s">
        <v>157</v>
      </c>
      <c r="G179" s="1" t="s">
        <v>177</v>
      </c>
      <c r="H179" s="1">
        <f>الجدول1[[#This Row],[سعر الغلاف]]-الجدول1[[#This Row],[سعر الغلاف]]*18%</f>
        <v>188.6</v>
      </c>
      <c r="I179" s="1"/>
    </row>
    <row r="180" spans="1:9" ht="12.75" x14ac:dyDescent="0.2">
      <c r="A180" s="1" t="s">
        <v>66</v>
      </c>
      <c r="B180" s="1" t="s">
        <v>49</v>
      </c>
      <c r="C180">
        <v>325</v>
      </c>
      <c r="D180" s="1">
        <f>C180-C180*15/100</f>
        <v>276.25</v>
      </c>
      <c r="E180" s="1" t="s">
        <v>139</v>
      </c>
      <c r="F180" s="1" t="s">
        <v>157</v>
      </c>
      <c r="G180" s="1" t="s">
        <v>177</v>
      </c>
      <c r="H180" s="1">
        <f>الجدول1[[#This Row],[سعر الغلاف]]-الجدول1[[#This Row],[سعر الغلاف]]*18%</f>
        <v>266.5</v>
      </c>
      <c r="I180" s="1"/>
    </row>
    <row r="181" spans="1:9" ht="12.75" x14ac:dyDescent="0.2">
      <c r="A181" s="1" t="s">
        <v>66</v>
      </c>
      <c r="B181" s="1" t="s">
        <v>50</v>
      </c>
      <c r="C181">
        <v>199</v>
      </c>
      <c r="D181" s="1">
        <f>C181-C181*15/100</f>
        <v>169.15</v>
      </c>
      <c r="E181" s="1" t="s">
        <v>140</v>
      </c>
      <c r="F181" s="1" t="s">
        <v>152</v>
      </c>
      <c r="G181" s="1" t="s">
        <v>177</v>
      </c>
      <c r="H181" s="1">
        <f>الجدول1[[#This Row],[سعر الغلاف]]-الجدول1[[#This Row],[سعر الغلاف]]*18%</f>
        <v>163.18</v>
      </c>
      <c r="I181" s="1"/>
    </row>
    <row r="182" spans="1:9" ht="12.75" x14ac:dyDescent="0.2">
      <c r="A182" s="1" t="s">
        <v>66</v>
      </c>
      <c r="B182" s="1" t="s">
        <v>51</v>
      </c>
      <c r="C182">
        <v>445</v>
      </c>
      <c r="D182" s="1">
        <f>C182-C182*15/100</f>
        <v>378.25</v>
      </c>
      <c r="E182" s="1" t="s">
        <v>140</v>
      </c>
      <c r="F182" s="1" t="s">
        <v>152</v>
      </c>
      <c r="G182" s="1" t="s">
        <v>177</v>
      </c>
      <c r="H182" s="1">
        <f>الجدول1[[#This Row],[سعر الغلاف]]-الجدول1[[#This Row],[سعر الغلاف]]*18%</f>
        <v>364.9</v>
      </c>
      <c r="I182" s="1"/>
    </row>
    <row r="183" spans="1:9" ht="12.75" x14ac:dyDescent="0.2">
      <c r="A183" s="1" t="s">
        <v>66</v>
      </c>
      <c r="B183" s="1" t="s">
        <v>52</v>
      </c>
      <c r="C183">
        <v>400</v>
      </c>
      <c r="D183" s="1">
        <f>C183-C183*15/100</f>
        <v>340</v>
      </c>
      <c r="E183" s="1" t="s">
        <v>140</v>
      </c>
      <c r="F183" s="1" t="s">
        <v>152</v>
      </c>
      <c r="G183" s="1" t="s">
        <v>177</v>
      </c>
      <c r="H183" s="1">
        <f>الجدول1[[#This Row],[سعر الغلاف]]-الجدول1[[#This Row],[سعر الغلاف]]*18%</f>
        <v>328</v>
      </c>
      <c r="I183" s="1"/>
    </row>
    <row r="184" spans="1:9" ht="15.75" customHeight="1" x14ac:dyDescent="0.2">
      <c r="A184" s="1" t="s">
        <v>66</v>
      </c>
      <c r="B184" s="1" t="s">
        <v>53</v>
      </c>
      <c r="C184" s="1">
        <v>278</v>
      </c>
      <c r="D184" s="1">
        <f>C184-C184*15/100</f>
        <v>236.3</v>
      </c>
      <c r="E184" s="1" t="s">
        <v>139</v>
      </c>
      <c r="F184" s="1" t="s">
        <v>247</v>
      </c>
      <c r="G184" s="1" t="s">
        <v>177</v>
      </c>
      <c r="H184" s="1">
        <f>الجدول1[[#This Row],[سعر الغلاف]]-الجدول1[[#This Row],[سعر الغلاف]]*18%</f>
        <v>227.96</v>
      </c>
      <c r="I184" s="1"/>
    </row>
    <row r="185" spans="1:9" ht="12.75" x14ac:dyDescent="0.2">
      <c r="A185" s="1" t="s">
        <v>62</v>
      </c>
      <c r="B185" s="7" t="s">
        <v>103</v>
      </c>
      <c r="C185" s="1">
        <v>175</v>
      </c>
      <c r="D185" s="1">
        <f>C185-C185*15/100</f>
        <v>148.75</v>
      </c>
      <c r="E185" s="1" t="s">
        <v>144</v>
      </c>
      <c r="F185" s="1" t="s">
        <v>163</v>
      </c>
      <c r="G185" s="1" t="s">
        <v>174</v>
      </c>
      <c r="H185" s="1">
        <f>الجدول1[[#This Row],[سعر الغلاف]]-الجدول1[[#This Row],[سعر الغلاف]]*20/100</f>
        <v>140</v>
      </c>
      <c r="I185" s="1"/>
    </row>
    <row r="186" spans="1:9" ht="15.75" customHeight="1" x14ac:dyDescent="0.2">
      <c r="A186" s="1" t="s">
        <v>66</v>
      </c>
      <c r="B186" s="1" t="s">
        <v>54</v>
      </c>
      <c r="C186" s="1">
        <v>405</v>
      </c>
      <c r="D186" s="1">
        <f>C186-C186*15/100</f>
        <v>344.25</v>
      </c>
      <c r="E186" s="1" t="s">
        <v>139</v>
      </c>
      <c r="F186" s="1" t="s">
        <v>246</v>
      </c>
      <c r="G186" s="1" t="s">
        <v>177</v>
      </c>
      <c r="H186" s="1">
        <f>الجدول1[[#This Row],[سعر الغلاف]]-الجدول1[[#This Row],[سعر الغلاف]]*18%</f>
        <v>332.1</v>
      </c>
      <c r="I186" s="1"/>
    </row>
    <row r="187" spans="1:9" ht="15.75" customHeight="1" x14ac:dyDescent="0.2">
      <c r="A187" s="1" t="s">
        <v>66</v>
      </c>
      <c r="B187" s="1" t="s">
        <v>148</v>
      </c>
      <c r="C187">
        <v>320</v>
      </c>
      <c r="D187" s="1">
        <f>C187-C187*15/100</f>
        <v>272</v>
      </c>
      <c r="E187" s="1" t="s">
        <v>149</v>
      </c>
      <c r="F187" s="1" t="s">
        <v>155</v>
      </c>
      <c r="G187" s="1" t="s">
        <v>177</v>
      </c>
      <c r="H187" s="1">
        <f>الجدول1[[#This Row],[سعر الغلاف]]-الجدول1[[#This Row],[سعر الغلاف]]*20/100</f>
        <v>256</v>
      </c>
      <c r="I187" s="1"/>
    </row>
    <row r="188" spans="1:9" ht="15.75" customHeight="1" x14ac:dyDescent="0.2">
      <c r="A188" s="1" t="s">
        <v>58</v>
      </c>
      <c r="B188" s="1" t="s">
        <v>17</v>
      </c>
      <c r="C188" s="1">
        <v>185</v>
      </c>
      <c r="D188" s="1">
        <f>C188-C188*15/100</f>
        <v>157.25</v>
      </c>
      <c r="E188" s="1" t="s">
        <v>143</v>
      </c>
      <c r="F188" s="1" t="s">
        <v>150</v>
      </c>
      <c r="G188" s="1" t="s">
        <v>170</v>
      </c>
      <c r="H188" s="1">
        <f>الجدول1[[#This Row],[سعر الغلاف]]-الجدول1[[#This Row],[سعر الغلاف]]*20/100</f>
        <v>148</v>
      </c>
      <c r="I188" s="1"/>
    </row>
    <row r="189" spans="1:9" ht="15.75" customHeight="1" x14ac:dyDescent="0.2">
      <c r="A189" s="1" t="s">
        <v>66</v>
      </c>
      <c r="B189" s="1" t="s">
        <v>241</v>
      </c>
      <c r="C189">
        <v>360</v>
      </c>
      <c r="D189" s="1">
        <f>C189-C189*15/100</f>
        <v>306</v>
      </c>
      <c r="E189" s="1" t="s">
        <v>146</v>
      </c>
      <c r="F189" s="1" t="s">
        <v>151</v>
      </c>
      <c r="G189" s="1" t="s">
        <v>177</v>
      </c>
      <c r="H189" s="1">
        <f>الجدول1[[#This Row],[سعر الغلاف]]-الجدول1[[#This Row],[سعر الغلاف]]*20/100</f>
        <v>288</v>
      </c>
      <c r="I189" s="1"/>
    </row>
    <row r="190" spans="1:9" ht="15.75" customHeight="1" x14ac:dyDescent="0.2">
      <c r="A190" s="1" t="s">
        <v>66</v>
      </c>
      <c r="B190" s="1" t="s">
        <v>92</v>
      </c>
      <c r="C190">
        <v>275</v>
      </c>
      <c r="D190" s="1">
        <f>C190-C190*15/100</f>
        <v>233.75</v>
      </c>
      <c r="E190" s="1" t="s">
        <v>138</v>
      </c>
      <c r="F190" s="1" t="s">
        <v>150</v>
      </c>
      <c r="G190" s="1" t="s">
        <v>177</v>
      </c>
      <c r="H190" s="1">
        <f>الجدول1[[#This Row],[سعر الغلاف]]-الجدول1[[#This Row],[سعر الغلاف]]*18%</f>
        <v>225.5</v>
      </c>
      <c r="I190" s="1"/>
    </row>
    <row r="191" spans="1:9" ht="15.75" customHeight="1" x14ac:dyDescent="0.2">
      <c r="A191" s="1" t="s">
        <v>62</v>
      </c>
      <c r="B191" s="2" t="s">
        <v>75</v>
      </c>
      <c r="C191" s="1">
        <v>185</v>
      </c>
      <c r="D191" s="1">
        <f>C191-C191*15/100</f>
        <v>157.25</v>
      </c>
      <c r="E191" s="1" t="s">
        <v>140</v>
      </c>
      <c r="F191" s="1" t="s">
        <v>152</v>
      </c>
      <c r="G191" s="1" t="s">
        <v>174</v>
      </c>
      <c r="H191" s="1">
        <f>الجدول1[[#This Row],[سعر الغلاف]]-الجدول1[[#This Row],[سعر الغلاف]]*18%</f>
        <v>151.69999999999999</v>
      </c>
      <c r="I191" s="1"/>
    </row>
    <row r="192" spans="1:9" ht="15.75" customHeight="1" x14ac:dyDescent="0.2">
      <c r="A192" s="1" t="s">
        <v>66</v>
      </c>
      <c r="B192" s="1" t="s">
        <v>130</v>
      </c>
      <c r="C192">
        <v>320</v>
      </c>
      <c r="D192" s="1">
        <f>C192-C192*15/100</f>
        <v>272</v>
      </c>
      <c r="E192" s="1" t="s">
        <v>147</v>
      </c>
      <c r="F192" s="1" t="s">
        <v>156</v>
      </c>
      <c r="G192" s="1" t="s">
        <v>177</v>
      </c>
      <c r="H192" s="1">
        <f>الجدول1[[#This Row],[سعر الغلاف]]-الجدول1[[#This Row],[سعر الغلاف]]*20/100</f>
        <v>256</v>
      </c>
      <c r="I192" s="1"/>
    </row>
    <row r="193" spans="1:9" ht="15.75" customHeight="1" x14ac:dyDescent="0.2">
      <c r="A193" s="1" t="s">
        <v>66</v>
      </c>
      <c r="B193" s="1" t="s">
        <v>94</v>
      </c>
      <c r="C193">
        <v>285</v>
      </c>
      <c r="D193" s="1">
        <f>C193-C193*15/100</f>
        <v>242.25</v>
      </c>
      <c r="E193" s="1" t="s">
        <v>140</v>
      </c>
      <c r="F193" s="1" t="s">
        <v>150</v>
      </c>
      <c r="G193" s="1" t="s">
        <v>177</v>
      </c>
      <c r="H193" s="1">
        <f>الجدول1[[#This Row],[سعر الغلاف]]-الجدول1[[#This Row],[سعر الغلاف]]*18%</f>
        <v>233.7</v>
      </c>
      <c r="I193" s="1"/>
    </row>
    <row r="194" spans="1:9" ht="15.75" customHeight="1" x14ac:dyDescent="0.2">
      <c r="A194" s="1" t="s">
        <v>65</v>
      </c>
      <c r="B194" s="1" t="s">
        <v>244</v>
      </c>
      <c r="C194">
        <v>335</v>
      </c>
      <c r="D194" s="1">
        <f>C194-C194*15/100</f>
        <v>284.75</v>
      </c>
      <c r="E194" s="1" t="s">
        <v>139</v>
      </c>
      <c r="F194" s="1" t="s">
        <v>151</v>
      </c>
      <c r="G194" s="1" t="s">
        <v>177</v>
      </c>
      <c r="H194" s="1">
        <f>الجدول1[[#This Row],[سعر الغلاف]]-الجدول1[[#This Row],[سعر الغلاف]]*18%</f>
        <v>274.7</v>
      </c>
    </row>
    <row r="195" spans="1:9" ht="15.75" customHeight="1" x14ac:dyDescent="0.2">
      <c r="A195" s="1" t="s">
        <v>66</v>
      </c>
      <c r="B195" s="1" t="s">
        <v>245</v>
      </c>
      <c r="C195">
        <v>349</v>
      </c>
      <c r="D195" s="1">
        <f>C195-C195*15/100</f>
        <v>296.64999999999998</v>
      </c>
      <c r="E195" s="1" t="s">
        <v>149</v>
      </c>
      <c r="F195" s="1" t="s">
        <v>157</v>
      </c>
      <c r="G195" s="1"/>
      <c r="H195" s="1">
        <f>الجدول1[[#This Row],[سعر الغلاف]]-الجدول1[[#This Row],[سعر الغلاف]]*20/100</f>
        <v>279.2</v>
      </c>
    </row>
    <row r="196" spans="1:9" ht="15.75" customHeight="1" x14ac:dyDescent="0.2">
      <c r="A196" s="1" t="s">
        <v>180</v>
      </c>
      <c r="B196" s="1"/>
      <c r="D196" s="1"/>
      <c r="E196" s="1"/>
      <c r="F196" s="1"/>
      <c r="G196" s="1"/>
      <c r="H196" s="1"/>
      <c r="I196">
        <f>SUMPRODUCT(الجدول1[فاتورة شراء - 1],الجدول1[سعر الشراء])-(SUMPRODUCT(الجدول1[فاتورة شراء - 1],الجدول1[سعر الشراء])*2%)</f>
        <v>0</v>
      </c>
    </row>
    <row r="198" spans="1:9" ht="15.75" customHeight="1" x14ac:dyDescent="0.2">
      <c r="C198">
        <f>160+150</f>
        <v>310</v>
      </c>
    </row>
  </sheetData>
  <phoneticPr fontId="4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MKTBTmix</dc:creator>
  <cp:lastModifiedBy>Hamdi Heikal</cp:lastModifiedBy>
  <cp:lastPrinted>2026-09-10T14:27:21Z</cp:lastPrinted>
  <dcterms:created xsi:type="dcterms:W3CDTF">2026-08-28T18:48:06Z</dcterms:created>
  <dcterms:modified xsi:type="dcterms:W3CDTF">2026-09-10T17:31:21Z</dcterms:modified>
</cp:coreProperties>
</file>